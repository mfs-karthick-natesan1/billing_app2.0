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zed Backlog" sheetId="1" state="visible" r:id="rId3"/>
    <sheet name="Sprint Plan" sheetId="2" state="visible" r:id="rId4"/>
    <sheet name="Summary" sheetId="3" state="visible" r:id="rId5"/>
  </sheets>
  <definedNames>
    <definedName function="false" hidden="true" localSheetId="0" name="_xlnm._FilterDatabase" vbProcedure="false">'Prioritized Backlog'!$A$1:$K$1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<sst xmlns="http://schemas.openxmlformats.org/spreadsheetml/2006/main" count="685" uniqueCount="308">
  <si>
    <t xml:space="preserve">#</t>
  </si>
  <si>
    <t xml:space="preserve">Issue</t>
  </si>
  <si>
    <t xml:space="preserve">Category</t>
  </si>
  <si>
    <t xml:space="preserve">Agent</t>
  </si>
  <si>
    <t xml:space="preserve">Priority</t>
  </si>
  <si>
    <t xml:space="preserve">Effort</t>
  </si>
  <si>
    <t xml:space="preserve">Impact</t>
  </si>
  <si>
    <t xml:space="preserve">Sprint</t>
  </si>
  <si>
    <t xml:space="preserve">File(s)</t>
  </si>
  <si>
    <t xml:space="preserve">Description &amp; Fix</t>
  </si>
  <si>
    <t xml:space="preserve">Status</t>
  </si>
  <si>
    <t xml:space="preserve">Remove hardcoded Supabase credentials</t>
  </si>
  <si>
    <t xml:space="preserve">Security</t>
  </si>
  <si>
    <t xml:space="preserve">Auditor+Security</t>
  </si>
  <si>
    <t xml:space="preserve">P0</t>
  </si>
  <si>
    <t xml:space="preserve">S (2h)</t>
  </si>
  <si>
    <t xml:space="preserve">Critical</t>
  </si>
  <si>
    <t xml:space="preserve">lib/constants/supabase_config.dart</t>
  </si>
  <si>
    <t xml:space="preserve">Supabase URL and anon key are hardcoded in source. The JWT exposes project ref, role, and expiry. Move to --dart-define build flags: const supabaseUrl = String.fromEnvironment('SUPABASE_URL'); const supabaseAnonKey = String.fromEnvironment('SUPABASE_ANON_KEY'); Update build commands and CI accordingly. Add supabase_config.dart to .gitignore if keeping a local dev fallback.</t>
  </si>
  <si>
    <t xml:space="preserve">Open</t>
  </si>
  <si>
    <t xml:space="preserve">Server-side bill number generation</t>
  </si>
  <si>
    <t xml:space="preserve">Data Integrity</t>
  </si>
  <si>
    <t xml:space="preserve">Logic+Arch</t>
  </si>
  <si>
    <t xml:space="preserve">M (6h)</t>
  </si>
  <si>
    <t xml:space="preserve">lib/services/bill_number_service.dart, Supabase Edge Function (new)</t>
  </si>
  <si>
    <t xml:space="preserve">BillNumberService uses an in-memory counter. Two devices can generate the same bill number simultaneously, and dedup on sync silently drops one bill. Fix: Create a Supabase Edge Function or DB sequence that atomically generates bill numbers per business. Call it from completeBill() before saving. Remove client-side counter as primary source.</t>
  </si>
  <si>
    <t xml:space="preserve">Server-side subscription limit enforcement</t>
  </si>
  <si>
    <t xml:space="preserve">M (8h)</t>
  </si>
  <si>
    <t xml:space="preserve">lib/providers/subscription_provider.dart, Supabase RLS/Edge Fn (new)</t>
  </si>
  <si>
    <t xml:space="preserve">canAddBill is checked client-side only; trivially bypassable. increment_bill_count RPC runs AFTER bill creation. Fix: Move bill count check to a Supabase Edge Function or RLS policy that rejects inserts when limit is reached. Return error to client if limit exceeded.</t>
  </si>
  <si>
    <t xml:space="preserve">Fix deleteBill() fallback bug</t>
  </si>
  <si>
    <t xml:space="preserve">Bug</t>
  </si>
  <si>
    <t xml:space="preserve">Auditor</t>
  </si>
  <si>
    <t xml:space="preserve">S (1h)</t>
  </si>
  <si>
    <t xml:space="preserve">lib/providers/bill_provider.dart (line 600-609)</t>
  </si>
  <si>
    <t xml:space="preserve">deleteBill() uses firstWhere with orElse: () =&gt; _bills.first. If billNumber not found, it deletes the FIRST bill in the list — wrong bill. Fix: Use firstWhereOrNull pattern; if null, return early without deleting. Code: final bill = _bills.cast&lt;Bill?&gt;().firstWhere((b) =&gt; b?.billNumber == billNumber, orElse: () =&gt; null); if (bill == null) return;</t>
  </si>
  <si>
    <t xml:space="preserve">Wrap completeBill() in DB transaction</t>
  </si>
  <si>
    <t xml:space="preserve">lib/providers/bill_provider.dart (line 381-527)</t>
  </si>
  <si>
    <t xml:space="preserve">completeBill() saves the bill, THEN decrements stock, THEN updates credit. If app crashes between steps, data is inconsistent. Fix: Use Supabase RPC function that atomically: (1) saves bill, (2) decrements stock, (3) updates credit, (4) increments bill count. If any step fails, all roll back.</t>
  </si>
  <si>
    <t xml:space="preserve">Prevent negative stock on decrement</t>
  </si>
  <si>
    <t xml:space="preserve">Logic</t>
  </si>
  <si>
    <t xml:space="preserve">lib/providers/product_provider.dart — decrementStock()</t>
  </si>
  <si>
    <t xml:space="preserve">decrementStock() does not validate resulting stock &gt;= 0. A product with 5 units can have 10 sold. Fix: Add validation: if (product.stockQuantity - quantity &lt; 0) throw InsufficientStockException(); Also handle batch-level stock check for pharmacy products.</t>
  </si>
  <si>
    <t xml:space="preserve">Add PIN rate limiting</t>
  </si>
  <si>
    <t xml:space="preserve">S (3h)</t>
  </si>
  <si>
    <t xml:space="preserve">lib/providers/user_provider.dart — login()</t>
  </si>
  <si>
    <t xml:space="preserve">4-digit PIN with static salt "billmaster", no lockout. 10K combinations brute-forceable in milliseconds. Fix: (1) Track failed attempts per user. (2) Lock account for 30s after 3 failures, 5min after 5, permanent after 10. (3) Show remaining attempts to user. (4) Long-term: migrate to 6-digit PIN or biometric.</t>
  </si>
  <si>
    <t xml:space="preserve">Add error handling to syncFromDb()</t>
  </si>
  <si>
    <t xml:space="preserve">High</t>
  </si>
  <si>
    <t xml:space="preserve">lib/providers/bill_provider.dart (line 578-598)</t>
  </si>
  <si>
    <t xml:space="preserve">syncFromDb() catches ALL exceptions with empty catch block. Network failures, auth expiry, malformed data — all invisible. Fix: (1) Log the error. (2) Differentiate network vs auth vs parse errors. (3) Show user-facing message on auth expiry. (4) Retry with backoff on network failure.</t>
  </si>
  <si>
    <t xml:space="preserve">Fix batch decrement silent success</t>
  </si>
  <si>
    <t xml:space="preserve">decrementStock with batchId: if batch not found, silently decrements main product stock without batch adjustment. Fix: If batchId provided but batch not found, throw an error or log a warning. Don't silently fall through.</t>
  </si>
  <si>
    <t xml:space="preserve">Make all model fields immutable</t>
  </si>
  <si>
    <t xml:space="preserve">Code Quality</t>
  </si>
  <si>
    <t xml:space="preserve">P1</t>
  </si>
  <si>
    <t xml:space="preserve">L (2d)</t>
  </si>
  <si>
    <t xml:space="preserve">lib/models/product.dart, customer.dart, supplier.dart, line_item.dart, serial_number.dart, job_card.dart</t>
  </si>
  <si>
    <t xml:space="preserve">Product.stockQuantity, Customer.outstandingBalance/advanceBalance, Supplier.outstandingPayable, LineItem.quantity/discountPercent, SerialNumber.status/billId, JobLineItem.quantity/unitPrice are mutable. State can change without notifyListeners(). Fix: Make all fields final. Add copyWith() where missing. Update providers to create new instances instead of mutating.</t>
  </si>
  <si>
    <t xml:space="preserve">Add GST rounding to 2 decimal places</t>
  </si>
  <si>
    <t xml:space="preserve">Business Logic</t>
  </si>
  <si>
    <t xml:space="preserve">lib/services/gst_calculator.dart</t>
  </si>
  <si>
    <t xml:space="preserve">Floating-point arithmetic accumulates rounding errors. Indian invoicing requires amounts rounded to nearest paisa. Fix: Add explicit rounding after every calculation: (value * 100).round() / 100. Apply in cgst(), sgst(), igst(), taxableAmount(), grandTotal().</t>
  </si>
  <si>
    <t xml:space="preserve">Track GST breakdown on returns</t>
  </si>
  <si>
    <t xml:space="preserve">M (4h)</t>
  </si>
  <si>
    <t xml:space="preserve">lib/models/return_line_item.dart, sales_return.dart</t>
  </si>
  <si>
    <t xml:space="preserve">ReturnLineItem.refundAmount is a lump sum without CGST/SGST/IGST breakdown. GSTR-1 filing requires reversed tax amounts separately. Fix: Add cgst, sgst, igst fields to ReturnLineItem and SalesReturn. Calculate from original bill's tax rates during return creation.</t>
  </si>
  <si>
    <t xml:space="preserve">Validate return qty &lt;= original bill qty</t>
  </si>
  <si>
    <t xml:space="preserve">lib/providers/return_provider.dart — addReturn()</t>
  </si>
  <si>
    <t xml:space="preserve">No server-side or provider-level check that returned quantity doesn't exceed original bill quantity. Bug in UI could create impossible returns. Fix: In addReturn(), look up original bill, sum existing returns for same bill/product, reject if total returned &gt; original qty.</t>
  </si>
  <si>
    <t xml:space="preserve">Add server-side RLS for role enforcement</t>
  </si>
  <si>
    <t xml:space="preserve">Security+Arch</t>
  </si>
  <si>
    <t xml:space="preserve">Supabase dashboard (new policies)</t>
  </si>
  <si>
    <t xml:space="preserve">PermissionService checks are client-side only. A modified client can bypass all role restrictions. Fix: Create Supabase RLS policies that check user role stored in app_users table. E.g., only owner role can delete bills, only owner/manager can adjust stock.</t>
  </si>
  <si>
    <t xml:space="preserve">Encrypt local state file</t>
  </si>
  <si>
    <t xml:space="preserve">lib/services/local_storage_service.dart</t>
  </si>
  <si>
    <t xml:space="preserve">app_state.json stored unencrypted with all business data and PII. Fix: Use flutter_secure_storage for encryption key, encrypt state JSON with AES before writing. Decrypt on read. Consider using Hive with encryption instead of raw file I/O.</t>
  </si>
  <si>
    <t xml:space="preserve">Extract shared JSON helpers</t>
  </si>
  <si>
    <t xml:space="preserve">Medium</t>
  </si>
  <si>
    <t xml:space="preserve">lib/core/utils/json_helpers.dart (new)</t>
  </si>
  <si>
    <t xml:space="preserve">_asDouble(), _asInt(), _nullableInt(), _nullableDouble(), _nullableString() duplicated across 15+ model files. Fix: Create a shared JsonHelpers class with static methods. Update all models to use the shared helpers.</t>
  </si>
  <si>
    <t xml:space="preserve">Unify payment mode enums</t>
  </si>
  <si>
    <t xml:space="preserve">lib/models/payment_info.dart, expense.dart, customer_payment_entry.dart</t>
  </si>
  <si>
    <t xml:space="preserve">Three separate payment mode enums: PaymentMode (4 values), ExpensePaymentMode (4 values), SettlementPaymentMode (3 values). Confusing and error-prone. Fix: Create a single unified PaymentMethod enum with all modes. Add a "context" or "applicability" concept if some modes only apply in certain scenarios.</t>
  </si>
  <si>
    <t xml:space="preserve">Extract _resetActiveState() in BillProvider</t>
  </si>
  <si>
    <t xml:space="preserve">lib/providers/bill_provider.dart</t>
  </si>
  <si>
    <t xml:space="preserve">12-field reset block duplicated 4 times (lines 424-437, 512-524, 545-555, 560-575). Fix: Extract to private _resetActiveState() method and call it from completeBill(), clearActiveBill(), clearAllBills(), replaceAllData().</t>
  </si>
  <si>
    <t xml:space="preserve">Add global error handler</t>
  </si>
  <si>
    <t xml:space="preserve">Reliability</t>
  </si>
  <si>
    <t xml:space="preserve">lib/main.dart</t>
  </si>
  <si>
    <t xml:space="preserve">No global error handler. Uncaught Flutter errors go to default handler. Fix: Add FlutterError.onError and PlatformDispatcher.onError in main(). Log errors to a service (Sentry, Crashlytics, or Supabase table). Show user-friendly error dialog for critical failures.</t>
  </si>
  <si>
    <t xml:space="preserve">Add crash reporting service</t>
  </si>
  <si>
    <t xml:space="preserve">pubspec.yaml, lib/main.dart</t>
  </si>
  <si>
    <t xml:space="preserve">No crash reporting. Production crashes are invisible. Fix: Integrate Sentry (sentry_flutter) or Firebase Crashlytics. Wrap runApp in error zone. Configure breadcrumbs for state changes.</t>
  </si>
  <si>
    <t xml:space="preserve">Fix ReportService month iteration bug</t>
  </si>
  <si>
    <t xml:space="preserve">lib/services/report_service.dart</t>
  </si>
  <si>
    <t xml:space="preserve">Month iteration uses cursor.month + 1 which overflows from December (12+1=13). Fix: Use DateTime(cursor.year, cursor.month + 1) which Dart handles correctly, but verify the logic handles year boundaries properly.</t>
  </si>
  <si>
    <t xml:space="preserve">Add DB operation retry with backoff</t>
  </si>
  <si>
    <t xml:space="preserve">lib/services/db_service.dart</t>
  </si>
  <si>
    <t xml:space="preserve">Single network blip during bill save means bill in memory but not in DB. No retry. Fix: Add exponential backoff retry wrapper (3 attempts, 1s/2s/4s delays) for all Supabase operations. Queue failed operations for retry on reconnect.</t>
  </si>
  <si>
    <t xml:space="preserve">Decouple providers with use cases</t>
  </si>
  <si>
    <t xml:space="preserve">Architecture</t>
  </si>
  <si>
    <t xml:space="preserve">Arch</t>
  </si>
  <si>
    <t xml:space="preserve">XL (1w)</t>
  </si>
  <si>
    <t xml:space="preserve">lib/domain/usecases/ (new directory)</t>
  </si>
  <si>
    <t xml:space="preserve">BillProvider calls ProductProvider.decrementStock() and CustomerProvider.addCredit() directly. PurchaseProvider calls ProductProvider.incrementStock() and SupplierProvider.addPayable(). Fix: Create use case classes: CompleteBillUseCase, CreatePurchaseUseCase, ProcessReturnUseCase that orchestrate multi-provider operations atomically.</t>
  </si>
  <si>
    <t xml:space="preserve">Add repository pattern</t>
  </si>
  <si>
    <t xml:space="preserve">lib/data/repositories/ (new), lib/domain/repositories/ (new)</t>
  </si>
  <si>
    <t xml:space="preserve">Providers call DbService directly, mixing state management with data access. Fix: Create abstract repository interfaces in domain/repositories/. Implement concrete repositories in data/repositories/ that wrap DbService. Inject repositories into providers.</t>
  </si>
  <si>
    <t xml:space="preserve">Add pagination to all list screens</t>
  </si>
  <si>
    <t xml:space="preserve">Performance</t>
  </si>
  <si>
    <t xml:space="preserve">Perf+UX</t>
  </si>
  <si>
    <t xml:space="preserve">L (3d)</t>
  </si>
  <si>
    <t xml:space="preserve">lib/screens/bill_history_screen.dart, product_list_screen.dart, customer_tab_screen.dart, expense_list_screen.dart, purchase_list_screen.dart</t>
  </si>
  <si>
    <t xml:space="preserve">All lists load entire dataset into memory. At 10K+ items = OOM. Fix: Implement cursor-based pagination with lazy loading. Load 50 items initially, fetch more on scroll. Use ListView.builder with pagination controller.</t>
  </si>
  <si>
    <t xml:space="preserve">Optimize CashBook recalculation</t>
  </si>
  <si>
    <t xml:space="preserve">Perf</t>
  </si>
  <si>
    <t xml:space="preserve">lib/providers/cash_book_provider.dart</t>
  </si>
  <si>
    <t xml:space="preserve">Recalculates ALL days from earliest change on any dependency update. O(n) per change, n=365+. Fix: (1) Only recalculate the specific day affected. (2) Use signature comparison to identify which day changed. (3) Lazily recalculate only when the day is viewed.</t>
  </si>
  <si>
    <t xml:space="preserve">Replace IndexedStack with lazy tab loading</t>
  </si>
  <si>
    <t xml:space="preserve">lib/screens/home_shell.dart</t>
  </si>
  <si>
    <t xml:space="preserve">IndexedStack keeps all tabs in memory simultaneously. All providers active even for unvisited tabs. Fix: Use PageView with AutomaticKeepAliveClientMixin or a custom lazy-loading tab wrapper that only builds tabs on first visit.</t>
  </si>
  <si>
    <t xml:space="preserve">Reduce Dashboard provider watching</t>
  </si>
  <si>
    <t xml:space="preserve">lib/screens/dashboard_screen.dart</t>
  </si>
  <si>
    <t xml:space="preserve">Dashboard watches 8 providers. Any change triggers full rebuild. Fix: (1) Use context.select() to watch only specific fields. (2) Split into sub-widgets that each watch one provider. (3) Memoize computed values (today's sales, bill count, etc.).</t>
  </si>
  <si>
    <t xml:space="preserve">Add loading skeletons and empty states</t>
  </si>
  <si>
    <t xml:space="preserve">UX</t>
  </si>
  <si>
    <t xml:space="preserve">lib/widgets/skeleton_loader.dart (new), all list screens</t>
  </si>
  <si>
    <t xml:space="preserve">Screens show empty state while data loads, creating flash of "no data". Fix: Create shimmer/skeleton widgets. Show them during initial load. Differentiate between "loading" and "no data" states across all list screens.</t>
  </si>
  <si>
    <t xml:space="preserve">Add pull-to-refresh on list screens</t>
  </si>
  <si>
    <t xml:space="preserve">lib/screens/bill_history_screen.dart, product_list_screen.dart, customer_tab_screen.dart, expense_list_screen.dart</t>
  </si>
  <si>
    <t xml:space="preserve">No pull-to-refresh on list screens. Users cannot manually trigger data sync. Fix: Wrap list views in RefreshIndicator. Call syncFromDb() or equivalent on refresh.</t>
  </si>
  <si>
    <t xml:space="preserve">Add undo for destructive actions</t>
  </si>
  <si>
    <t xml:space="preserve">lib/screens/product_list_screen.dart, bill_history_screen.dart</t>
  </si>
  <si>
    <t xml:space="preserve">Deleting a product, clearing a bill, or deleting a customer is permanent. Fix: Show SnackBar with "Undo" action for deletions. Use a soft-delete pattern (isDeleted flag) with cleanup after 30s timeout.</t>
  </si>
  <si>
    <t xml:space="preserve">Add Semantics widgets for accessibility</t>
  </si>
  <si>
    <t xml:space="preserve">Accessibility</t>
  </si>
  <si>
    <t xml:space="preserve">P2</t>
  </si>
  <si>
    <t xml:space="preserve">All screens and widgets</t>
  </si>
  <si>
    <t xml:space="preserve">No Semantics widgets anywhere. Screen readers cannot navigate the app. Fix: Add Semantics wrappers to all interactive elements. Use ExcludeSemantics for decorative elements. Test with TalkBack (Android).</t>
  </si>
  <si>
    <t xml:space="preserve">Hindi/regional language support (i18n)</t>
  </si>
  <si>
    <t xml:space="preserve">lib/l10n/ (new), lib/constants/app_strings.dart</t>
  </si>
  <si>
    <t xml:space="preserve">All UI text is English only. Many Indian shopkeepers prefer Hindi/Tamil/Telugu. Fix: Migrate AppStrings to Flutter l10n (intl_utils or flutter_localizations). Create .arb files for Hindi as first additional language. Add language switcher in settings.</t>
  </si>
  <si>
    <t xml:space="preserve">Add integration tests for core flows</t>
  </si>
  <si>
    <t xml:space="preserve">Testing</t>
  </si>
  <si>
    <t xml:space="preserve">test/integration/ (new directory)</t>
  </si>
  <si>
    <t xml:space="preserve">No integration tests. Critical flows untested end-to-end. Fix: Add integration tests for: (1) bill creation → stock decrement → cash book update, (2) purchase → stock increment → supplier payable, (3) return → stock restoration → credit note, (4) quotation → approval → bill conversion.</t>
  </si>
  <si>
    <t xml:space="preserve">Add tests for untested providers</t>
  </si>
  <si>
    <t xml:space="preserve">test/ (new test files)</t>
  </si>
  <si>
    <t xml:space="preserve">SubscriptionProvider, TableOrderProvider, JobCardProvider, SerialNumberProvider, AuthProvider, NavigationProvider have ZERO tests. Fix: Add unit tests for each with at least: CRUD operations, edge cases, error scenarios.</t>
  </si>
  <si>
    <t xml:space="preserve">Add onboarding flow for new users</t>
  </si>
  <si>
    <t xml:space="preserve">lib/screens/onboarding/ (new directory)</t>
  </si>
  <si>
    <t xml:space="preserve">After signup, users land on empty setup screen with no guidance. Fix: Create 3-4 step onboarding: (1) Welcome + business type selection, (2) Business details, (3) First product/sample data, (4) Quick billing tutorial.</t>
  </si>
  <si>
    <t xml:space="preserve">Add search to quotations, suppliers, job cards</t>
  </si>
  <si>
    <t xml:space="preserve">lib/screens/quotation_list_screen.dart, supplier_list_screen.dart, workshop/job_card_list_screen.dart</t>
  </si>
  <si>
    <t xml:space="preserve">Only bills, products, customers, and expenses have search. Quotations, suppliers, job cards, and purchases are missing search. Fix: Add SearchBarWidget to these screens with appropriate field matching.</t>
  </si>
  <si>
    <t xml:space="preserve">Add sorting options to list screens</t>
  </si>
  <si>
    <t xml:space="preserve">Low</t>
  </si>
  <si>
    <t xml:space="preserve">All list screens</t>
  </si>
  <si>
    <t xml:space="preserve">No sort options on any list screen. Users can't sort products by price, customers by balance, or bills by amount. Fix: Add sort dropdown/menu in AppBar: by name, date, amount, status as appropriate per screen.</t>
  </si>
  <si>
    <t xml:space="preserve">Remove unused crypto dependency</t>
  </si>
  <si>
    <t xml:space="preserve">S (15m)</t>
  </si>
  <si>
    <t xml:space="preserve">pubspec.yaml</t>
  </si>
  <si>
    <t xml:space="preserve">crypto ^3.0.6 listed but never imported anywhere. Fix: Remove from pubspec.yaml and run flutter pub get.</t>
  </si>
  <si>
    <t xml:space="preserve">Add copyWith to Bill, PurchaseEntry, LineItem</t>
  </si>
  <si>
    <t xml:space="preserve">lib/models/bill.dart, purchase_entry.dart, line_item.dart</t>
  </si>
  <si>
    <t xml:space="preserve">Bill, PurchaseEntry, and LineItem lack copyWith methods, unlike other models. Fix: Add standard copyWith with optional parameters. Bill has many fields so consider a builder pattern instead.</t>
  </si>
  <si>
    <t xml:space="preserve">Complete CashBook discrepancy feature</t>
  </si>
  <si>
    <t xml:space="preserve">Feature</t>
  </si>
  <si>
    <t xml:space="preserve">getCashDiscrepancy() always returns null — incomplete stub. Fix: Implement expected vs actual cash balance comparison. Allow user to record actual cash counted. Calculate discrepancy = actual - expected closing.</t>
  </si>
  <si>
    <t xml:space="preserve">Migrate JSONB to relational schema</t>
  </si>
  <si>
    <t xml:space="preserve">XL (2w)</t>
  </si>
  <si>
    <t xml:space="preserve">Supabase schema (migration), lib/services/db_service.dart</t>
  </si>
  <si>
    <t xml:space="preserve">All entities stored as JSONB blobs. No foreign keys, joins, indexes, or DB-level filtering. Fix: Create proper relational tables: bills, bill_line_items, products, customers, etc. Write migration script. Update DbService to use relational queries. Add indexes on timestamp, business_id, barcode.</t>
  </si>
  <si>
    <t xml:space="preserve">Invoice-level payment linkage</t>
  </si>
  <si>
    <t xml:space="preserve">lib/providers/customer_provider.dart, lib/models/customer_payment_entry.dart</t>
  </si>
  <si>
    <t xml:space="preserve">Payments reduce total outstanding but aren't linked to specific invoices. Fix: Add optional billId field to CustomerPaymentEntry. Allow payment allocation to specific invoices. Show payment status per invoice in bill history.</t>
  </si>
  <si>
    <t xml:space="preserve">Add dark mode support</t>
  </si>
  <si>
    <t xml:space="preserve">lib/constants/app_colors.dart, lib/app.dart</t>
  </si>
  <si>
    <t xml:space="preserve">Single light color scheme only. Fix: Create dark mode color palette. Use ColorScheme.fromSeed with brightness parameter. Add dark mode toggle in settings. Persist preference.</t>
  </si>
  <si>
    <t xml:space="preserve">CSV injection prevention</t>
  </si>
  <si>
    <t xml:space="preserve">lib/services/csv_service.dart</t>
  </si>
  <si>
    <t xml:space="preserve">CSV import parses values without sanitizing formula injection (=CMD, +CMD). Fix: Prefix values starting with =, +, -, @ with a single quote. Validate/sanitize on import.</t>
  </si>
  <si>
    <t xml:space="preserve">Add HTTPS certificate pinning</t>
  </si>
  <si>
    <t xml:space="preserve">lib/services/supabase_service.dart</t>
  </si>
  <si>
    <t xml:space="preserve">No certificate pinning for Supabase connections. MITM attacks possible. Fix: Use http_certificate_pinning package or custom HttpClient with pinned certificates for Supabase domain.</t>
  </si>
  <si>
    <t xml:space="preserve">Add data backup strategy</t>
  </si>
  <si>
    <t xml:space="preserve">lib/services/backup_service.dart (new)</t>
  </si>
  <si>
    <t xml:space="preserve">Only manual export. If Supabase data corrupted and local backup stale, data is lost. Fix: Schedule automatic daily backups to local storage. Keep last 7 days. Allow restore from backup. Consider cloud backup option.</t>
  </si>
  <si>
    <t xml:space="preserve">Add keyboard shortcuts for web</t>
  </si>
  <si>
    <t xml:space="preserve">lib/screens/create_bill_screen.dart, home_shell.dart</t>
  </si>
  <si>
    <t xml:space="preserve">No keyboard shortcuts for desktop/web users. Fix: Add shortcuts: Ctrl+N = new bill, Ctrl+F = search, Enter = add item, Ctrl+S = save/complete, Esc = cancel. Use Shortcuts and Actions widgets.</t>
  </si>
  <si>
    <t xml:space="preserve">Add export options to reports</t>
  </si>
  <si>
    <t xml:space="preserve">lib/screens/reports_screen.dart</t>
  </si>
  <si>
    <t xml:space="preserve">No export for P&amp;L, Sales, Inventory, Cash Flow, GST reports. Only GSTR-1 has CSV export. Fix: Add PDF and CSV export buttons to each report tab. Use ReportService data to generate formatted exports.</t>
  </si>
  <si>
    <t xml:space="preserve">Add cheque clearing workflow</t>
  </si>
  <si>
    <t xml:space="preserve">lib/models/cheque.dart (new), lib/providers/cheque_provider.dart (new)</t>
  </si>
  <si>
    <t xml:space="preserve">Cheque payment mode exists but no tracking, bounce handling, or clearing confirmation. Fix: Add Cheque model with: number, date, bank, amount, status (pending/cleared/bounced). Add provider and UI for cheque management.</t>
  </si>
  <si>
    <t xml:space="preserve">Add voice input for product search</t>
  </si>
  <si>
    <t xml:space="preserve">P3</t>
  </si>
  <si>
    <t xml:space="preserve">lib/widgets/search_bar_widget.dart</t>
  </si>
  <si>
    <t xml:space="preserve">Many shopkeepers find typing difficult. Fix: Add microphone icon to search bar. Use speech_to_text package for voice search. Convert speech to text and trigger product search.</t>
  </si>
  <si>
    <t xml:space="preserve">Add equals/hashCode to all models</t>
  </si>
  <si>
    <t xml:space="preserve">All model files</t>
  </si>
  <si>
    <t xml:space="preserve">No == operator or hashCode override on any model. Collections can't properly deduplicate. Fix: Add equatable package or manually implement == and hashCode based on id field for all models.</t>
  </si>
  <si>
    <t xml:space="preserve">Add toString() to all models</t>
  </si>
  <si>
    <t xml:space="preserve">No toString() methods. Debugging shows "Instance of Product" instead of useful info. Fix: Add toString() returning key fields (id, name, amount as appropriate) to each model.</t>
  </si>
  <si>
    <t xml:space="preserve">Make SupportTicket status an enum</t>
  </si>
  <si>
    <t xml:space="preserve">lib/models/support_ticket.dart</t>
  </si>
  <si>
    <t xml:space="preserve">Status stored as string "open"|"in_progress"|"resolved" instead of enum. Fix: Create TicketStatus enum and migrate.</t>
  </si>
  <si>
    <t xml:space="preserve">Add toJson to SupportTicket</t>
  </si>
  <si>
    <t xml:space="preserve">S (30m)</t>
  </si>
  <si>
    <t xml:space="preserve">SupportTicket is read-only (no toJson). Fix: Add toJson() for consistency and offline caching support.</t>
  </si>
  <si>
    <t xml:space="preserve">Reduce SearchBarWidget minimum chars</t>
  </si>
  <si>
    <t xml:space="preserve">Requires 2 characters minimum. Frustrating for short product names ("A4", "Tea"). Fix: Make threshold configurable via constructor parameter, defaulting to 1.</t>
  </si>
  <si>
    <t xml:space="preserve">Add notification rate limiting</t>
  </si>
  <si>
    <t xml:space="preserve">lib/services/notification_service.dart</t>
  </si>
  <si>
    <t xml:space="preserve">checkLowStock shows up to 50 notifications at once. Can spam user. Fix: Limit to 5 notifications per check. Aggregate: "12 products have low stock — tap to view".</t>
  </si>
  <si>
    <t xml:space="preserve">Fix NotificationService credit due metric</t>
  </si>
  <si>
    <t xml:space="preserve">Credit due check uses customer creation date, not last transaction date. A customer created 90 days ago with a payment yesterday still triggers "overdue". Fix: Track last transaction/payment date and use that for overdue calculation.</t>
  </si>
  <si>
    <t xml:space="preserve">Add iOS notification support</t>
  </si>
  <si>
    <t xml:space="preserve">lib/services/_notification_mobile.dart</t>
  </si>
  <si>
    <t xml:space="preserve">Only Android notification implementation exists. iOS gets no-op stub. Fix: Add iOS notification channel configuration and permissions request.</t>
  </si>
  <si>
    <t xml:space="preserve">Optimize Expense vendor suggestions</t>
  </si>
  <si>
    <t xml:space="preserve">lib/providers/expense_provider.dart</t>
  </si>
  <si>
    <t xml:space="preserve">getVendorSuggestions() iterates all expenses every call. Fix: Maintain a cached Set&lt;String&gt; of vendor names, updated on add/delete expense. Return cached set on request.</t>
  </si>
  <si>
    <t xml:space="preserve">Add color-blind safe status indicators</t>
  </si>
  <si>
    <t xml:space="preserve">lib/screens/restaurant/table_screen.dart, job_card_list_screen.dart</t>
  </si>
  <si>
    <t xml:space="preserve">Color-only status indicators (red=occupied, green=available). Fix: Add icon overlays (checkmark/X) alongside colors. Use patterns or shapes as secondary indicators.</t>
  </si>
  <si>
    <t xml:space="preserve">Clean up temp files after sharing</t>
  </si>
  <si>
    <t xml:space="preserve">lib/services/invoice_share_service.dart</t>
  </si>
  <si>
    <t xml:space="preserve">writeTempFile() creates files in temp directory but never cleans them up. Fix: Delete temp files after sharing completes, or schedule periodic cleanup.</t>
  </si>
  <si>
    <t xml:space="preserve">Add file size limit on CSV import</t>
  </si>
  <si>
    <t xml:space="preserve">lib/screens/csv_import_screen.dart, lib/services/csv_service.dart</t>
  </si>
  <si>
    <t xml:space="preserve">No file size limit on CSV import. Large files could crash the app. Fix: Check file size before parsing. Reject files &gt; 5MB with user-friendly message.</t>
  </si>
  <si>
    <t xml:space="preserve">Validate screenshot upload type/size</t>
  </si>
  <si>
    <t xml:space="preserve">lib/services/auth_service.dart</t>
  </si>
  <si>
    <t xml:space="preserve">Support ticket screenshot upload accepts any file type/size. Fix: Validate MIME type (image/png, image/jpeg only) and size (&lt; 5MB) before uploading.</t>
  </si>
  <si>
    <t xml:space="preserve">Add page numbers to PDF invoices</t>
  </si>
  <si>
    <t xml:space="preserve">lib/services/pdf_invoice_service.dart</t>
  </si>
  <si>
    <t xml:space="preserve">Generated PDFs have no page numbers. Multi-page invoices are hard to organize. Fix: Add "Page X of Y" footer to generated PDFs.</t>
  </si>
  <si>
    <t xml:space="preserve">Focus</t>
  </si>
  <si>
    <t xml:space="preserve">Duration</t>
  </si>
  <si>
    <t xml:space="preserve">Items</t>
  </si>
  <si>
    <t xml:space="preserve">Key Deliverables</t>
  </si>
  <si>
    <t xml:space="preserve">Effort Estimate</t>
  </si>
  <si>
    <t xml:space="preserve">Sprint 1</t>
  </si>
  <si>
    <t xml:space="preserve">Critical Fixes</t>
  </si>
  <si>
    <t xml:space="preserve">Week 1-2</t>
  </si>
  <si>
    <t xml:space="preserve">#1-#9</t>
  </si>
  <si>
    <t xml:space="preserve">Supabase creds secured, server-side bill numbers, transaction wrapping, deleteBill bug fixed, negative stock prevented, PIN rate limiting, error handling</t>
  </si>
  <si>
    <t xml:space="preserve">~32 hours</t>
  </si>
  <si>
    <t xml:space="preserve">Sprint 2</t>
  </si>
  <si>
    <t xml:space="preserve">Data Integrity &amp; Quality</t>
  </si>
  <si>
    <t xml:space="preserve">Week 3-4</t>
  </si>
  <si>
    <t xml:space="preserve">#10-#22</t>
  </si>
  <si>
    <t xml:space="preserve">Immutable models, GST rounding, return GST tracking, RLS policies, encrypted storage, crash reporting, global error handler, retry logic</t>
  </si>
  <si>
    <t xml:space="preserve">~6 days</t>
  </si>
  <si>
    <t xml:space="preserve">Sprint 3</t>
  </si>
  <si>
    <t xml:space="preserve">Architecture &amp; Performance</t>
  </si>
  <si>
    <t xml:space="preserve">Week 5-6</t>
  </si>
  <si>
    <t xml:space="preserve">#23-#31</t>
  </si>
  <si>
    <t xml:space="preserve">Use case layer, repository pattern, pagination on all lists, CashBook optimization, lazy tabs, loading skeletons, pull-to-refresh, undo support</t>
  </si>
  <si>
    <t xml:space="preserve">~2.5 weeks</t>
  </si>
  <si>
    <t xml:space="preserve">Sprint 4</t>
  </si>
  <si>
    <t xml:space="preserve">UX &amp; Testing</t>
  </si>
  <si>
    <t xml:space="preserve">Week 7-8</t>
  </si>
  <si>
    <t xml:space="preserve">#32-#41</t>
  </si>
  <si>
    <t xml:space="preserve">Accessibility (Semantics), Hindi language support, integration tests, provider tests, onboarding flow, search on all screens, sorting options</t>
  </si>
  <si>
    <t xml:space="preserve">Sprint 5</t>
  </si>
  <si>
    <t xml:space="preserve">Schema &amp; Polish</t>
  </si>
  <si>
    <t xml:space="preserve">Week 9-11</t>
  </si>
  <si>
    <t xml:space="preserve">#42-#50</t>
  </si>
  <si>
    <t xml:space="preserve">Relational DB migration, invoice payment linkage, dark mode, CSV security, cert pinning, backups, keyboard shortcuts, report exports</t>
  </si>
  <si>
    <t xml:space="preserve">~3 weeks</t>
  </si>
  <si>
    <t xml:space="preserve">Sprint 6+</t>
  </si>
  <si>
    <t xml:space="preserve">Long-term Polish</t>
  </si>
  <si>
    <t xml:space="preserve">Week 12+</t>
  </si>
  <si>
    <t xml:space="preserve">#51-#65</t>
  </si>
  <si>
    <t xml:space="preserve">Voice search, model equality, toString, ticket enum, notification fixes, vendor cache, accessibility indicators, temp cleanup, CSV limits</t>
  </si>
  <si>
    <t xml:space="preserve">~2 weeks</t>
  </si>
  <si>
    <t xml:space="preserve">BillReady 2.0 — Audit Summary</t>
  </si>
  <si>
    <t xml:space="preserve">Issues by Priority</t>
  </si>
  <si>
    <t xml:space="preserve">Count</t>
  </si>
  <si>
    <t xml:space="preserve">Total Effort</t>
  </si>
  <si>
    <t xml:space="preserve">P0 — Critical</t>
  </si>
  <si>
    <t xml:space="preserve">P1 — Important</t>
  </si>
  <si>
    <t xml:space="preserve">~7 weeks</t>
  </si>
  <si>
    <t xml:space="preserve">P2 — Nice to Have</t>
  </si>
  <si>
    <t xml:space="preserve">~5 weeks</t>
  </si>
  <si>
    <t xml:space="preserve">P3 — Polish</t>
  </si>
  <si>
    <t xml:space="preserve">TOTAL</t>
  </si>
  <si>
    <t xml:space="preserve">~18 weeks</t>
  </si>
  <si>
    <t xml:space="preserve">Issues by Category</t>
  </si>
  <si>
    <t xml:space="preserve">Issues by Agent Source</t>
  </si>
  <si>
    <t xml:space="preserve">Code Auditor</t>
  </si>
  <si>
    <t xml:space="preserve">UI/UX Design</t>
  </si>
  <si>
    <t xml:space="preserve">Workflow &amp; Logic</t>
  </si>
  <si>
    <t xml:space="preserve">Security &amp; Performance</t>
  </si>
  <si>
    <t xml:space="preserve">App Health Score</t>
  </si>
  <si>
    <t xml:space="preserve">Current Score</t>
  </si>
  <si>
    <t xml:space="preserve">5.5 / 10</t>
  </si>
  <si>
    <t xml:space="preserve">After Sprint 1</t>
  </si>
  <si>
    <t xml:space="preserve">7.0 / 10</t>
  </si>
  <si>
    <t xml:space="preserve">After Sprint 3</t>
  </si>
  <si>
    <t xml:space="preserve">8.5 / 10</t>
  </si>
  <si>
    <t xml:space="preserve">Target (Sprint 5+)</t>
  </si>
  <si>
    <t xml:space="preserve">9.0+ / 10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</si>
</sst>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0B8B6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EA580C"/>
      <name val="Arial"/>
      <family val="0"/>
      <charset val="1"/>
    </font>
    <font>
      <b val="true"/>
      <sz val="12"/>
      <color rgb="FFCA8A04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b val="true"/>
      <sz val="12"/>
      <color rgb="FF0B8B6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8B68"/>
        <bgColor rgb="FF008080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F3F4F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B8B6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8B68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CA8A04"/>
      <rgbColor rgb="FFEA580C"/>
      <rgbColor rgb="FF666699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30"/>
    <col collapsed="false" customWidth="true" hidden="false" outlineLevel="0" max="10" min="10" style="0" width="55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74.6" hidden="false" customHeight="false" outlineLevel="0" collapsed="false">
      <c r="A2" s="2" t="n">
        <v>1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n">
        <v>1</v>
      </c>
      <c r="I2" s="3" t="s">
        <v>17</v>
      </c>
      <c r="J2" s="3" t="s">
        <v>18</v>
      </c>
      <c r="K2" s="2" t="s">
        <v>19</v>
      </c>
    </row>
    <row r="3" customFormat="false" ht="64.15" hidden="false" customHeight="false" outlineLevel="0" collapsed="false">
      <c r="A3" s="2" t="n">
        <v>2</v>
      </c>
      <c r="B3" s="3" t="s">
        <v>20</v>
      </c>
      <c r="C3" s="2" t="s">
        <v>21</v>
      </c>
      <c r="D3" s="2" t="s">
        <v>22</v>
      </c>
      <c r="E3" s="2" t="s">
        <v>14</v>
      </c>
      <c r="F3" s="2" t="s">
        <v>23</v>
      </c>
      <c r="G3" s="2" t="s">
        <v>16</v>
      </c>
      <c r="H3" s="2" t="n">
        <v>1</v>
      </c>
      <c r="I3" s="3" t="s">
        <v>24</v>
      </c>
      <c r="J3" s="3" t="s">
        <v>25</v>
      </c>
      <c r="K3" s="2" t="s">
        <v>19</v>
      </c>
    </row>
    <row r="4" customFormat="false" ht="43.25" hidden="false" customHeight="false" outlineLevel="0" collapsed="false">
      <c r="A4" s="2" t="n">
        <v>3</v>
      </c>
      <c r="B4" s="3" t="s">
        <v>26</v>
      </c>
      <c r="C4" s="2" t="s">
        <v>12</v>
      </c>
      <c r="D4" s="2" t="s">
        <v>22</v>
      </c>
      <c r="E4" s="2" t="s">
        <v>14</v>
      </c>
      <c r="F4" s="2" t="s">
        <v>27</v>
      </c>
      <c r="G4" s="2" t="s">
        <v>16</v>
      </c>
      <c r="H4" s="2" t="n">
        <v>1</v>
      </c>
      <c r="I4" s="3" t="s">
        <v>28</v>
      </c>
      <c r="J4" s="3" t="s">
        <v>29</v>
      </c>
      <c r="K4" s="2" t="s">
        <v>19</v>
      </c>
    </row>
    <row r="5" customFormat="false" ht="53.7" hidden="false" customHeight="false" outlineLevel="0" collapsed="false">
      <c r="A5" s="2" t="n">
        <v>4</v>
      </c>
      <c r="B5" s="3" t="s">
        <v>30</v>
      </c>
      <c r="C5" s="2" t="s">
        <v>31</v>
      </c>
      <c r="D5" s="2" t="s">
        <v>32</v>
      </c>
      <c r="E5" s="2" t="s">
        <v>14</v>
      </c>
      <c r="F5" s="2" t="s">
        <v>33</v>
      </c>
      <c r="G5" s="2" t="s">
        <v>16</v>
      </c>
      <c r="H5" s="2" t="n">
        <v>1</v>
      </c>
      <c r="I5" s="3" t="s">
        <v>34</v>
      </c>
      <c r="J5" s="3" t="s">
        <v>35</v>
      </c>
      <c r="K5" s="2" t="s">
        <v>19</v>
      </c>
    </row>
    <row r="6" customFormat="false" ht="53.7" hidden="false" customHeight="false" outlineLevel="0" collapsed="false">
      <c r="A6" s="2" t="n">
        <v>5</v>
      </c>
      <c r="B6" s="3" t="s">
        <v>36</v>
      </c>
      <c r="C6" s="2" t="s">
        <v>21</v>
      </c>
      <c r="D6" s="2" t="s">
        <v>22</v>
      </c>
      <c r="E6" s="2" t="s">
        <v>14</v>
      </c>
      <c r="F6" s="2" t="s">
        <v>23</v>
      </c>
      <c r="G6" s="2" t="s">
        <v>16</v>
      </c>
      <c r="H6" s="2" t="n">
        <v>1</v>
      </c>
      <c r="I6" s="3" t="s">
        <v>37</v>
      </c>
      <c r="J6" s="3" t="s">
        <v>38</v>
      </c>
      <c r="K6" s="2" t="s">
        <v>19</v>
      </c>
    </row>
    <row r="7" customFormat="false" ht="43.25" hidden="false" customHeight="false" outlineLevel="0" collapsed="false">
      <c r="A7" s="2" t="n">
        <v>6</v>
      </c>
      <c r="B7" s="3" t="s">
        <v>39</v>
      </c>
      <c r="C7" s="2" t="s">
        <v>21</v>
      </c>
      <c r="D7" s="2" t="s">
        <v>40</v>
      </c>
      <c r="E7" s="2" t="s">
        <v>14</v>
      </c>
      <c r="F7" s="2" t="s">
        <v>15</v>
      </c>
      <c r="G7" s="2" t="s">
        <v>16</v>
      </c>
      <c r="H7" s="2" t="n">
        <v>1</v>
      </c>
      <c r="I7" s="3" t="s">
        <v>41</v>
      </c>
      <c r="J7" s="3" t="s">
        <v>42</v>
      </c>
      <c r="K7" s="2" t="s">
        <v>19</v>
      </c>
    </row>
    <row r="8" customFormat="false" ht="53.7" hidden="false" customHeight="false" outlineLevel="0" collapsed="false">
      <c r="A8" s="2" t="n">
        <v>7</v>
      </c>
      <c r="B8" s="3" t="s">
        <v>43</v>
      </c>
      <c r="C8" s="2" t="s">
        <v>12</v>
      </c>
      <c r="D8" s="2" t="s">
        <v>12</v>
      </c>
      <c r="E8" s="2" t="s">
        <v>14</v>
      </c>
      <c r="F8" s="2" t="s">
        <v>44</v>
      </c>
      <c r="G8" s="2" t="s">
        <v>16</v>
      </c>
      <c r="H8" s="2" t="n">
        <v>1</v>
      </c>
      <c r="I8" s="3" t="s">
        <v>45</v>
      </c>
      <c r="J8" s="3" t="s">
        <v>46</v>
      </c>
      <c r="K8" s="2" t="s">
        <v>19</v>
      </c>
    </row>
    <row r="9" customFormat="false" ht="43.25" hidden="false" customHeight="false" outlineLevel="0" collapsed="false">
      <c r="A9" s="2" t="n">
        <v>8</v>
      </c>
      <c r="B9" s="3" t="s">
        <v>47</v>
      </c>
      <c r="C9" s="2" t="s">
        <v>31</v>
      </c>
      <c r="D9" s="2" t="s">
        <v>32</v>
      </c>
      <c r="E9" s="2" t="s">
        <v>14</v>
      </c>
      <c r="F9" s="2" t="s">
        <v>15</v>
      </c>
      <c r="G9" s="2" t="s">
        <v>48</v>
      </c>
      <c r="H9" s="2" t="n">
        <v>1</v>
      </c>
      <c r="I9" s="3" t="s">
        <v>49</v>
      </c>
      <c r="J9" s="3" t="s">
        <v>50</v>
      </c>
      <c r="K9" s="2" t="s">
        <v>19</v>
      </c>
    </row>
    <row r="10" customFormat="false" ht="32.8" hidden="false" customHeight="false" outlineLevel="0" collapsed="false">
      <c r="A10" s="2" t="n">
        <v>9</v>
      </c>
      <c r="B10" s="3" t="s">
        <v>51</v>
      </c>
      <c r="C10" s="2" t="s">
        <v>31</v>
      </c>
      <c r="D10" s="2" t="s">
        <v>40</v>
      </c>
      <c r="E10" s="2" t="s">
        <v>14</v>
      </c>
      <c r="F10" s="2" t="s">
        <v>15</v>
      </c>
      <c r="G10" s="2" t="s">
        <v>48</v>
      </c>
      <c r="H10" s="2" t="n">
        <v>1</v>
      </c>
      <c r="I10" s="3" t="s">
        <v>41</v>
      </c>
      <c r="J10" s="3" t="s">
        <v>52</v>
      </c>
      <c r="K10" s="2" t="s">
        <v>19</v>
      </c>
    </row>
    <row r="11" customFormat="false" ht="64.15" hidden="false" customHeight="false" outlineLevel="0" collapsed="false">
      <c r="A11" s="4" t="n">
        <v>10</v>
      </c>
      <c r="B11" s="5" t="s">
        <v>53</v>
      </c>
      <c r="C11" s="4" t="s">
        <v>54</v>
      </c>
      <c r="D11" s="4" t="s">
        <v>32</v>
      </c>
      <c r="E11" s="4" t="s">
        <v>55</v>
      </c>
      <c r="F11" s="4" t="s">
        <v>56</v>
      </c>
      <c r="G11" s="4" t="s">
        <v>48</v>
      </c>
      <c r="H11" s="4" t="n">
        <v>2</v>
      </c>
      <c r="I11" s="5" t="s">
        <v>57</v>
      </c>
      <c r="J11" s="5" t="s">
        <v>58</v>
      </c>
      <c r="K11" s="4" t="s">
        <v>19</v>
      </c>
    </row>
    <row r="12" customFormat="false" ht="43.25" hidden="false" customHeight="false" outlineLevel="0" collapsed="false">
      <c r="A12" s="4" t="n">
        <v>11</v>
      </c>
      <c r="B12" s="5" t="s">
        <v>59</v>
      </c>
      <c r="C12" s="4" t="s">
        <v>60</v>
      </c>
      <c r="D12" s="4" t="s">
        <v>40</v>
      </c>
      <c r="E12" s="4" t="s">
        <v>55</v>
      </c>
      <c r="F12" s="4" t="s">
        <v>15</v>
      </c>
      <c r="G12" s="4" t="s">
        <v>48</v>
      </c>
      <c r="H12" s="4" t="n">
        <v>2</v>
      </c>
      <c r="I12" s="5" t="s">
        <v>61</v>
      </c>
      <c r="J12" s="5" t="s">
        <v>62</v>
      </c>
      <c r="K12" s="4" t="s">
        <v>19</v>
      </c>
    </row>
    <row r="13" customFormat="false" ht="43.25" hidden="false" customHeight="false" outlineLevel="0" collapsed="false">
      <c r="A13" s="4" t="n">
        <v>12</v>
      </c>
      <c r="B13" s="5" t="s">
        <v>63</v>
      </c>
      <c r="C13" s="4" t="s">
        <v>60</v>
      </c>
      <c r="D13" s="4" t="s">
        <v>40</v>
      </c>
      <c r="E13" s="4" t="s">
        <v>55</v>
      </c>
      <c r="F13" s="4" t="s">
        <v>64</v>
      </c>
      <c r="G13" s="4" t="s">
        <v>48</v>
      </c>
      <c r="H13" s="4" t="n">
        <v>2</v>
      </c>
      <c r="I13" s="5" t="s">
        <v>65</v>
      </c>
      <c r="J13" s="5" t="s">
        <v>66</v>
      </c>
      <c r="K13" s="4" t="s">
        <v>19</v>
      </c>
    </row>
    <row r="14" customFormat="false" ht="43.25" hidden="false" customHeight="false" outlineLevel="0" collapsed="false">
      <c r="A14" s="4" t="n">
        <v>13</v>
      </c>
      <c r="B14" s="5" t="s">
        <v>67</v>
      </c>
      <c r="C14" s="4" t="s">
        <v>60</v>
      </c>
      <c r="D14" s="4" t="s">
        <v>40</v>
      </c>
      <c r="E14" s="4" t="s">
        <v>55</v>
      </c>
      <c r="F14" s="4" t="s">
        <v>15</v>
      </c>
      <c r="G14" s="4" t="s">
        <v>48</v>
      </c>
      <c r="H14" s="4" t="n">
        <v>2</v>
      </c>
      <c r="I14" s="5" t="s">
        <v>68</v>
      </c>
      <c r="J14" s="5" t="s">
        <v>69</v>
      </c>
      <c r="K14" s="4" t="s">
        <v>19</v>
      </c>
    </row>
    <row r="15" customFormat="false" ht="43.25" hidden="false" customHeight="false" outlineLevel="0" collapsed="false">
      <c r="A15" s="4" t="n">
        <v>14</v>
      </c>
      <c r="B15" s="5" t="s">
        <v>70</v>
      </c>
      <c r="C15" s="4" t="s">
        <v>12</v>
      </c>
      <c r="D15" s="4" t="s">
        <v>71</v>
      </c>
      <c r="E15" s="4" t="s">
        <v>55</v>
      </c>
      <c r="F15" s="4" t="s">
        <v>56</v>
      </c>
      <c r="G15" s="4" t="s">
        <v>48</v>
      </c>
      <c r="H15" s="4" t="n">
        <v>2</v>
      </c>
      <c r="I15" s="5" t="s">
        <v>72</v>
      </c>
      <c r="J15" s="5" t="s">
        <v>73</v>
      </c>
      <c r="K15" s="4" t="s">
        <v>19</v>
      </c>
    </row>
    <row r="16" customFormat="false" ht="43.25" hidden="false" customHeight="false" outlineLevel="0" collapsed="false">
      <c r="A16" s="4" t="n">
        <v>15</v>
      </c>
      <c r="B16" s="5" t="s">
        <v>74</v>
      </c>
      <c r="C16" s="4" t="s">
        <v>12</v>
      </c>
      <c r="D16" s="4" t="s">
        <v>12</v>
      </c>
      <c r="E16" s="4" t="s">
        <v>55</v>
      </c>
      <c r="F16" s="4" t="s">
        <v>64</v>
      </c>
      <c r="G16" s="4" t="s">
        <v>48</v>
      </c>
      <c r="H16" s="4" t="n">
        <v>2</v>
      </c>
      <c r="I16" s="5" t="s">
        <v>75</v>
      </c>
      <c r="J16" s="5" t="s">
        <v>76</v>
      </c>
      <c r="K16" s="4" t="s">
        <v>19</v>
      </c>
    </row>
    <row r="17" customFormat="false" ht="32.8" hidden="false" customHeight="false" outlineLevel="0" collapsed="false">
      <c r="A17" s="4" t="n">
        <v>16</v>
      </c>
      <c r="B17" s="5" t="s">
        <v>77</v>
      </c>
      <c r="C17" s="4" t="s">
        <v>54</v>
      </c>
      <c r="D17" s="4" t="s">
        <v>32</v>
      </c>
      <c r="E17" s="4" t="s">
        <v>55</v>
      </c>
      <c r="F17" s="4" t="s">
        <v>44</v>
      </c>
      <c r="G17" s="4" t="s">
        <v>78</v>
      </c>
      <c r="H17" s="4" t="n">
        <v>2</v>
      </c>
      <c r="I17" s="5" t="s">
        <v>79</v>
      </c>
      <c r="J17" s="5" t="s">
        <v>80</v>
      </c>
      <c r="K17" s="4" t="s">
        <v>19</v>
      </c>
    </row>
    <row r="18" customFormat="false" ht="53.7" hidden="false" customHeight="false" outlineLevel="0" collapsed="false">
      <c r="A18" s="4" t="n">
        <v>17</v>
      </c>
      <c r="B18" s="5" t="s">
        <v>81</v>
      </c>
      <c r="C18" s="4" t="s">
        <v>54</v>
      </c>
      <c r="D18" s="4" t="s">
        <v>32</v>
      </c>
      <c r="E18" s="4" t="s">
        <v>55</v>
      </c>
      <c r="F18" s="4" t="s">
        <v>64</v>
      </c>
      <c r="G18" s="4" t="s">
        <v>78</v>
      </c>
      <c r="H18" s="4" t="n">
        <v>2</v>
      </c>
      <c r="I18" s="5" t="s">
        <v>82</v>
      </c>
      <c r="J18" s="5" t="s">
        <v>83</v>
      </c>
      <c r="K18" s="4" t="s">
        <v>19</v>
      </c>
    </row>
    <row r="19" customFormat="false" ht="32.8" hidden="false" customHeight="false" outlineLevel="0" collapsed="false">
      <c r="A19" s="4" t="n">
        <v>18</v>
      </c>
      <c r="B19" s="5" t="s">
        <v>84</v>
      </c>
      <c r="C19" s="4" t="s">
        <v>54</v>
      </c>
      <c r="D19" s="4" t="s">
        <v>32</v>
      </c>
      <c r="E19" s="4" t="s">
        <v>55</v>
      </c>
      <c r="F19" s="4" t="s">
        <v>33</v>
      </c>
      <c r="G19" s="4" t="s">
        <v>78</v>
      </c>
      <c r="H19" s="4" t="n">
        <v>2</v>
      </c>
      <c r="I19" s="5" t="s">
        <v>85</v>
      </c>
      <c r="J19" s="5" t="s">
        <v>86</v>
      </c>
      <c r="K19" s="4" t="s">
        <v>19</v>
      </c>
    </row>
    <row r="20" customFormat="false" ht="43.25" hidden="false" customHeight="false" outlineLevel="0" collapsed="false">
      <c r="A20" s="4" t="n">
        <v>19</v>
      </c>
      <c r="B20" s="5" t="s">
        <v>87</v>
      </c>
      <c r="C20" s="4" t="s">
        <v>88</v>
      </c>
      <c r="D20" s="4" t="s">
        <v>32</v>
      </c>
      <c r="E20" s="4" t="s">
        <v>55</v>
      </c>
      <c r="F20" s="4" t="s">
        <v>64</v>
      </c>
      <c r="G20" s="4" t="s">
        <v>48</v>
      </c>
      <c r="H20" s="4" t="n">
        <v>2</v>
      </c>
      <c r="I20" s="5" t="s">
        <v>89</v>
      </c>
      <c r="J20" s="5" t="s">
        <v>90</v>
      </c>
      <c r="K20" s="4" t="s">
        <v>19</v>
      </c>
    </row>
    <row r="21" customFormat="false" ht="32.8" hidden="false" customHeight="false" outlineLevel="0" collapsed="false">
      <c r="A21" s="4" t="n">
        <v>20</v>
      </c>
      <c r="B21" s="5" t="s">
        <v>91</v>
      </c>
      <c r="C21" s="4" t="s">
        <v>88</v>
      </c>
      <c r="D21" s="4" t="s">
        <v>12</v>
      </c>
      <c r="E21" s="4" t="s">
        <v>55</v>
      </c>
      <c r="F21" s="4" t="s">
        <v>64</v>
      </c>
      <c r="G21" s="4" t="s">
        <v>48</v>
      </c>
      <c r="H21" s="4" t="n">
        <v>2</v>
      </c>
      <c r="I21" s="5" t="s">
        <v>92</v>
      </c>
      <c r="J21" s="5" t="s">
        <v>93</v>
      </c>
      <c r="K21" s="4" t="s">
        <v>19</v>
      </c>
    </row>
    <row r="22" customFormat="false" ht="32.8" hidden="false" customHeight="false" outlineLevel="0" collapsed="false">
      <c r="A22" s="4" t="n">
        <v>21</v>
      </c>
      <c r="B22" s="5" t="s">
        <v>94</v>
      </c>
      <c r="C22" s="4" t="s">
        <v>31</v>
      </c>
      <c r="D22" s="4" t="s">
        <v>40</v>
      </c>
      <c r="E22" s="4" t="s">
        <v>55</v>
      </c>
      <c r="F22" s="4" t="s">
        <v>33</v>
      </c>
      <c r="G22" s="4" t="s">
        <v>78</v>
      </c>
      <c r="H22" s="4" t="n">
        <v>2</v>
      </c>
      <c r="I22" s="5" t="s">
        <v>95</v>
      </c>
      <c r="J22" s="5" t="s">
        <v>96</v>
      </c>
      <c r="K22" s="4" t="s">
        <v>19</v>
      </c>
    </row>
    <row r="23" customFormat="false" ht="43.25" hidden="false" customHeight="false" outlineLevel="0" collapsed="false">
      <c r="A23" s="4" t="n">
        <v>22</v>
      </c>
      <c r="B23" s="5" t="s">
        <v>97</v>
      </c>
      <c r="C23" s="4" t="s">
        <v>88</v>
      </c>
      <c r="D23" s="4" t="s">
        <v>12</v>
      </c>
      <c r="E23" s="4" t="s">
        <v>55</v>
      </c>
      <c r="F23" s="4" t="s">
        <v>64</v>
      </c>
      <c r="G23" s="4" t="s">
        <v>48</v>
      </c>
      <c r="H23" s="4" t="n">
        <v>2</v>
      </c>
      <c r="I23" s="5" t="s">
        <v>98</v>
      </c>
      <c r="J23" s="5" t="s">
        <v>99</v>
      </c>
      <c r="K23" s="4" t="s">
        <v>19</v>
      </c>
    </row>
    <row r="24" customFormat="false" ht="64.15" hidden="false" customHeight="false" outlineLevel="0" collapsed="false">
      <c r="A24" s="4" t="n">
        <v>23</v>
      </c>
      <c r="B24" s="5" t="s">
        <v>100</v>
      </c>
      <c r="C24" s="4" t="s">
        <v>101</v>
      </c>
      <c r="D24" s="4" t="s">
        <v>102</v>
      </c>
      <c r="E24" s="4" t="s">
        <v>55</v>
      </c>
      <c r="F24" s="4" t="s">
        <v>103</v>
      </c>
      <c r="G24" s="4" t="s">
        <v>48</v>
      </c>
      <c r="H24" s="4" t="n">
        <v>3</v>
      </c>
      <c r="I24" s="5" t="s">
        <v>104</v>
      </c>
      <c r="J24" s="5" t="s">
        <v>105</v>
      </c>
      <c r="K24" s="4" t="s">
        <v>19</v>
      </c>
    </row>
    <row r="25" customFormat="false" ht="43.25" hidden="false" customHeight="false" outlineLevel="0" collapsed="false">
      <c r="A25" s="4" t="n">
        <v>24</v>
      </c>
      <c r="B25" s="5" t="s">
        <v>106</v>
      </c>
      <c r="C25" s="4" t="s">
        <v>101</v>
      </c>
      <c r="D25" s="4" t="s">
        <v>102</v>
      </c>
      <c r="E25" s="4" t="s">
        <v>55</v>
      </c>
      <c r="F25" s="4" t="s">
        <v>103</v>
      </c>
      <c r="G25" s="4" t="s">
        <v>48</v>
      </c>
      <c r="H25" s="4" t="n">
        <v>3</v>
      </c>
      <c r="I25" s="5" t="s">
        <v>107</v>
      </c>
      <c r="J25" s="5" t="s">
        <v>108</v>
      </c>
      <c r="K25" s="4" t="s">
        <v>19</v>
      </c>
    </row>
    <row r="26" customFormat="false" ht="53.7" hidden="false" customHeight="false" outlineLevel="0" collapsed="false">
      <c r="A26" s="4" t="n">
        <v>25</v>
      </c>
      <c r="B26" s="5" t="s">
        <v>109</v>
      </c>
      <c r="C26" s="4" t="s">
        <v>110</v>
      </c>
      <c r="D26" s="4" t="s">
        <v>111</v>
      </c>
      <c r="E26" s="4" t="s">
        <v>55</v>
      </c>
      <c r="F26" s="4" t="s">
        <v>112</v>
      </c>
      <c r="G26" s="4" t="s">
        <v>48</v>
      </c>
      <c r="H26" s="4" t="n">
        <v>3</v>
      </c>
      <c r="I26" s="5" t="s">
        <v>113</v>
      </c>
      <c r="J26" s="5" t="s">
        <v>114</v>
      </c>
      <c r="K26" s="4" t="s">
        <v>19</v>
      </c>
    </row>
    <row r="27" customFormat="false" ht="43.25" hidden="false" customHeight="false" outlineLevel="0" collapsed="false">
      <c r="A27" s="4" t="n">
        <v>26</v>
      </c>
      <c r="B27" s="5" t="s">
        <v>115</v>
      </c>
      <c r="C27" s="4" t="s">
        <v>110</v>
      </c>
      <c r="D27" s="4" t="s">
        <v>116</v>
      </c>
      <c r="E27" s="4" t="s">
        <v>55</v>
      </c>
      <c r="F27" s="4" t="s">
        <v>23</v>
      </c>
      <c r="G27" s="4" t="s">
        <v>48</v>
      </c>
      <c r="H27" s="4" t="n">
        <v>3</v>
      </c>
      <c r="I27" s="5" t="s">
        <v>117</v>
      </c>
      <c r="J27" s="5" t="s">
        <v>118</v>
      </c>
      <c r="K27" s="4" t="s">
        <v>19</v>
      </c>
    </row>
    <row r="28" customFormat="false" ht="43.25" hidden="false" customHeight="false" outlineLevel="0" collapsed="false">
      <c r="A28" s="4" t="n">
        <v>27</v>
      </c>
      <c r="B28" s="5" t="s">
        <v>119</v>
      </c>
      <c r="C28" s="4" t="s">
        <v>110</v>
      </c>
      <c r="D28" s="4" t="s">
        <v>116</v>
      </c>
      <c r="E28" s="4" t="s">
        <v>55</v>
      </c>
      <c r="F28" s="4" t="s">
        <v>64</v>
      </c>
      <c r="G28" s="4" t="s">
        <v>78</v>
      </c>
      <c r="H28" s="4" t="n">
        <v>3</v>
      </c>
      <c r="I28" s="5" t="s">
        <v>120</v>
      </c>
      <c r="J28" s="5" t="s">
        <v>121</v>
      </c>
      <c r="K28" s="4" t="s">
        <v>19</v>
      </c>
    </row>
    <row r="29" customFormat="false" ht="43.25" hidden="false" customHeight="false" outlineLevel="0" collapsed="false">
      <c r="A29" s="4" t="n">
        <v>28</v>
      </c>
      <c r="B29" s="5" t="s">
        <v>122</v>
      </c>
      <c r="C29" s="4" t="s">
        <v>110</v>
      </c>
      <c r="D29" s="4" t="s">
        <v>116</v>
      </c>
      <c r="E29" s="4" t="s">
        <v>55</v>
      </c>
      <c r="F29" s="4" t="s">
        <v>64</v>
      </c>
      <c r="G29" s="4" t="s">
        <v>78</v>
      </c>
      <c r="H29" s="4" t="n">
        <v>3</v>
      </c>
      <c r="I29" s="5" t="s">
        <v>123</v>
      </c>
      <c r="J29" s="5" t="s">
        <v>124</v>
      </c>
      <c r="K29" s="4" t="s">
        <v>19</v>
      </c>
    </row>
    <row r="30" customFormat="false" ht="43.25" hidden="false" customHeight="false" outlineLevel="0" collapsed="false">
      <c r="A30" s="4" t="n">
        <v>29</v>
      </c>
      <c r="B30" s="5" t="s">
        <v>125</v>
      </c>
      <c r="C30" s="4" t="s">
        <v>126</v>
      </c>
      <c r="D30" s="4" t="s">
        <v>126</v>
      </c>
      <c r="E30" s="4" t="s">
        <v>55</v>
      </c>
      <c r="F30" s="4" t="s">
        <v>56</v>
      </c>
      <c r="G30" s="4" t="s">
        <v>78</v>
      </c>
      <c r="H30" s="4" t="n">
        <v>3</v>
      </c>
      <c r="I30" s="5" t="s">
        <v>127</v>
      </c>
      <c r="J30" s="5" t="s">
        <v>128</v>
      </c>
      <c r="K30" s="4" t="s">
        <v>19</v>
      </c>
    </row>
    <row r="31" customFormat="false" ht="43.25" hidden="false" customHeight="false" outlineLevel="0" collapsed="false">
      <c r="A31" s="4" t="n">
        <v>30</v>
      </c>
      <c r="B31" s="5" t="s">
        <v>129</v>
      </c>
      <c r="C31" s="4" t="s">
        <v>126</v>
      </c>
      <c r="D31" s="4" t="s">
        <v>126</v>
      </c>
      <c r="E31" s="4" t="s">
        <v>55</v>
      </c>
      <c r="F31" s="4" t="s">
        <v>44</v>
      </c>
      <c r="G31" s="4" t="s">
        <v>78</v>
      </c>
      <c r="H31" s="4" t="n">
        <v>3</v>
      </c>
      <c r="I31" s="5" t="s">
        <v>130</v>
      </c>
      <c r="J31" s="5" t="s">
        <v>131</v>
      </c>
      <c r="K31" s="4" t="s">
        <v>19</v>
      </c>
    </row>
    <row r="32" customFormat="false" ht="32.8" hidden="false" customHeight="false" outlineLevel="0" collapsed="false">
      <c r="A32" s="4" t="n">
        <v>31</v>
      </c>
      <c r="B32" s="5" t="s">
        <v>132</v>
      </c>
      <c r="C32" s="4" t="s">
        <v>126</v>
      </c>
      <c r="D32" s="4" t="s">
        <v>126</v>
      </c>
      <c r="E32" s="4" t="s">
        <v>55</v>
      </c>
      <c r="F32" s="4" t="s">
        <v>64</v>
      </c>
      <c r="G32" s="4" t="s">
        <v>78</v>
      </c>
      <c r="H32" s="4" t="n">
        <v>3</v>
      </c>
      <c r="I32" s="5" t="s">
        <v>133</v>
      </c>
      <c r="J32" s="5" t="s">
        <v>134</v>
      </c>
      <c r="K32" s="4" t="s">
        <v>19</v>
      </c>
    </row>
    <row r="33" customFormat="false" ht="32.8" hidden="false" customHeight="false" outlineLevel="0" collapsed="false">
      <c r="A33" s="6" t="n">
        <v>32</v>
      </c>
      <c r="B33" s="7" t="s">
        <v>135</v>
      </c>
      <c r="C33" s="6" t="s">
        <v>136</v>
      </c>
      <c r="D33" s="6" t="s">
        <v>126</v>
      </c>
      <c r="E33" s="6" t="s">
        <v>137</v>
      </c>
      <c r="F33" s="6" t="s">
        <v>112</v>
      </c>
      <c r="G33" s="6" t="s">
        <v>78</v>
      </c>
      <c r="H33" s="6" t="n">
        <v>4</v>
      </c>
      <c r="I33" s="7" t="s">
        <v>138</v>
      </c>
      <c r="J33" s="7" t="s">
        <v>139</v>
      </c>
      <c r="K33" s="6" t="s">
        <v>19</v>
      </c>
    </row>
    <row r="34" customFormat="false" ht="43.25" hidden="false" customHeight="false" outlineLevel="0" collapsed="false">
      <c r="A34" s="6" t="n">
        <v>33</v>
      </c>
      <c r="B34" s="7" t="s">
        <v>140</v>
      </c>
      <c r="C34" s="6" t="s">
        <v>126</v>
      </c>
      <c r="D34" s="6" t="s">
        <v>126</v>
      </c>
      <c r="E34" s="6" t="s">
        <v>137</v>
      </c>
      <c r="F34" s="6" t="s">
        <v>103</v>
      </c>
      <c r="G34" s="6" t="s">
        <v>48</v>
      </c>
      <c r="H34" s="6" t="n">
        <v>4</v>
      </c>
      <c r="I34" s="7" t="s">
        <v>141</v>
      </c>
      <c r="J34" s="7" t="s">
        <v>142</v>
      </c>
      <c r="K34" s="6" t="s">
        <v>19</v>
      </c>
    </row>
    <row r="35" customFormat="false" ht="53.7" hidden="false" customHeight="false" outlineLevel="0" collapsed="false">
      <c r="A35" s="6" t="n">
        <v>34</v>
      </c>
      <c r="B35" s="7" t="s">
        <v>143</v>
      </c>
      <c r="C35" s="6" t="s">
        <v>144</v>
      </c>
      <c r="D35" s="6" t="s">
        <v>32</v>
      </c>
      <c r="E35" s="6" t="s">
        <v>137</v>
      </c>
      <c r="F35" s="6" t="s">
        <v>103</v>
      </c>
      <c r="G35" s="6" t="s">
        <v>48</v>
      </c>
      <c r="H35" s="6" t="n">
        <v>4</v>
      </c>
      <c r="I35" s="7" t="s">
        <v>145</v>
      </c>
      <c r="J35" s="7" t="s">
        <v>146</v>
      </c>
      <c r="K35" s="6" t="s">
        <v>19</v>
      </c>
    </row>
    <row r="36" customFormat="false" ht="43.25" hidden="false" customHeight="false" outlineLevel="0" collapsed="false">
      <c r="A36" s="6" t="n">
        <v>35</v>
      </c>
      <c r="B36" s="7" t="s">
        <v>147</v>
      </c>
      <c r="C36" s="6" t="s">
        <v>144</v>
      </c>
      <c r="D36" s="6" t="s">
        <v>32</v>
      </c>
      <c r="E36" s="6" t="s">
        <v>137</v>
      </c>
      <c r="F36" s="6" t="s">
        <v>112</v>
      </c>
      <c r="G36" s="6" t="s">
        <v>48</v>
      </c>
      <c r="H36" s="6" t="n">
        <v>4</v>
      </c>
      <c r="I36" s="7" t="s">
        <v>148</v>
      </c>
      <c r="J36" s="7" t="s">
        <v>149</v>
      </c>
      <c r="K36" s="6" t="s">
        <v>19</v>
      </c>
    </row>
    <row r="37" customFormat="false" ht="32.8" hidden="false" customHeight="false" outlineLevel="0" collapsed="false">
      <c r="A37" s="6" t="n">
        <v>36</v>
      </c>
      <c r="B37" s="7" t="s">
        <v>150</v>
      </c>
      <c r="C37" s="6" t="s">
        <v>126</v>
      </c>
      <c r="D37" s="6" t="s">
        <v>126</v>
      </c>
      <c r="E37" s="6" t="s">
        <v>137</v>
      </c>
      <c r="F37" s="6" t="s">
        <v>112</v>
      </c>
      <c r="G37" s="6" t="s">
        <v>78</v>
      </c>
      <c r="H37" s="6" t="n">
        <v>4</v>
      </c>
      <c r="I37" s="7" t="s">
        <v>151</v>
      </c>
      <c r="J37" s="7" t="s">
        <v>152</v>
      </c>
      <c r="K37" s="6" t="s">
        <v>19</v>
      </c>
    </row>
    <row r="38" customFormat="false" ht="32.8" hidden="false" customHeight="false" outlineLevel="0" collapsed="false">
      <c r="A38" s="6" t="n">
        <v>37</v>
      </c>
      <c r="B38" s="7" t="s">
        <v>153</v>
      </c>
      <c r="C38" s="6" t="s">
        <v>126</v>
      </c>
      <c r="D38" s="6" t="s">
        <v>126</v>
      </c>
      <c r="E38" s="6" t="s">
        <v>137</v>
      </c>
      <c r="F38" s="6" t="s">
        <v>44</v>
      </c>
      <c r="G38" s="6" t="s">
        <v>78</v>
      </c>
      <c r="H38" s="6" t="n">
        <v>4</v>
      </c>
      <c r="I38" s="7" t="s">
        <v>154</v>
      </c>
      <c r="J38" s="7" t="s">
        <v>155</v>
      </c>
      <c r="K38" s="6" t="s">
        <v>19</v>
      </c>
    </row>
    <row r="39" customFormat="false" ht="32.8" hidden="false" customHeight="false" outlineLevel="0" collapsed="false">
      <c r="A39" s="6" t="n">
        <v>38</v>
      </c>
      <c r="B39" s="7" t="s">
        <v>156</v>
      </c>
      <c r="C39" s="6" t="s">
        <v>126</v>
      </c>
      <c r="D39" s="6" t="s">
        <v>126</v>
      </c>
      <c r="E39" s="6" t="s">
        <v>137</v>
      </c>
      <c r="F39" s="6" t="s">
        <v>64</v>
      </c>
      <c r="G39" s="6" t="s">
        <v>157</v>
      </c>
      <c r="H39" s="6" t="n">
        <v>4</v>
      </c>
      <c r="I39" s="7" t="s">
        <v>158</v>
      </c>
      <c r="J39" s="7" t="s">
        <v>159</v>
      </c>
      <c r="K39" s="6" t="s">
        <v>19</v>
      </c>
    </row>
    <row r="40" customFormat="false" ht="22.35" hidden="false" customHeight="false" outlineLevel="0" collapsed="false">
      <c r="A40" s="6" t="n">
        <v>39</v>
      </c>
      <c r="B40" s="7" t="s">
        <v>160</v>
      </c>
      <c r="C40" s="6" t="s">
        <v>54</v>
      </c>
      <c r="D40" s="6" t="s">
        <v>32</v>
      </c>
      <c r="E40" s="6" t="s">
        <v>137</v>
      </c>
      <c r="F40" s="6" t="s">
        <v>161</v>
      </c>
      <c r="G40" s="6" t="s">
        <v>157</v>
      </c>
      <c r="H40" s="6" t="n">
        <v>4</v>
      </c>
      <c r="I40" s="7" t="s">
        <v>162</v>
      </c>
      <c r="J40" s="7" t="s">
        <v>163</v>
      </c>
      <c r="K40" s="6" t="s">
        <v>19</v>
      </c>
    </row>
    <row r="41" customFormat="false" ht="32.8" hidden="false" customHeight="false" outlineLevel="0" collapsed="false">
      <c r="A41" s="6" t="n">
        <v>40</v>
      </c>
      <c r="B41" s="7" t="s">
        <v>164</v>
      </c>
      <c r="C41" s="6" t="s">
        <v>54</v>
      </c>
      <c r="D41" s="6" t="s">
        <v>32</v>
      </c>
      <c r="E41" s="6" t="s">
        <v>137</v>
      </c>
      <c r="F41" s="6" t="s">
        <v>15</v>
      </c>
      <c r="G41" s="6" t="s">
        <v>157</v>
      </c>
      <c r="H41" s="6" t="n">
        <v>4</v>
      </c>
      <c r="I41" s="7" t="s">
        <v>165</v>
      </c>
      <c r="J41" s="7" t="s">
        <v>166</v>
      </c>
      <c r="K41" s="6" t="s">
        <v>19</v>
      </c>
    </row>
    <row r="42" customFormat="false" ht="43.25" hidden="false" customHeight="false" outlineLevel="0" collapsed="false">
      <c r="A42" s="6" t="n">
        <v>41</v>
      </c>
      <c r="B42" s="7" t="s">
        <v>167</v>
      </c>
      <c r="C42" s="6" t="s">
        <v>168</v>
      </c>
      <c r="D42" s="6" t="s">
        <v>40</v>
      </c>
      <c r="E42" s="6" t="s">
        <v>137</v>
      </c>
      <c r="F42" s="6" t="s">
        <v>64</v>
      </c>
      <c r="G42" s="6" t="s">
        <v>157</v>
      </c>
      <c r="H42" s="6" t="n">
        <v>4</v>
      </c>
      <c r="I42" s="7" t="s">
        <v>117</v>
      </c>
      <c r="J42" s="7" t="s">
        <v>169</v>
      </c>
      <c r="K42" s="6" t="s">
        <v>19</v>
      </c>
    </row>
    <row r="43" customFormat="false" ht="43.25" hidden="false" customHeight="false" outlineLevel="0" collapsed="false">
      <c r="A43" s="6" t="n">
        <v>42</v>
      </c>
      <c r="B43" s="7" t="s">
        <v>170</v>
      </c>
      <c r="C43" s="6" t="s">
        <v>101</v>
      </c>
      <c r="D43" s="6" t="s">
        <v>102</v>
      </c>
      <c r="E43" s="6" t="s">
        <v>137</v>
      </c>
      <c r="F43" s="6" t="s">
        <v>171</v>
      </c>
      <c r="G43" s="6" t="s">
        <v>48</v>
      </c>
      <c r="H43" s="6" t="n">
        <v>5</v>
      </c>
      <c r="I43" s="7" t="s">
        <v>172</v>
      </c>
      <c r="J43" s="7" t="s">
        <v>173</v>
      </c>
      <c r="K43" s="6" t="s">
        <v>19</v>
      </c>
    </row>
    <row r="44" customFormat="false" ht="43.25" hidden="false" customHeight="false" outlineLevel="0" collapsed="false">
      <c r="A44" s="6" t="n">
        <v>43</v>
      </c>
      <c r="B44" s="7" t="s">
        <v>174</v>
      </c>
      <c r="C44" s="6" t="s">
        <v>60</v>
      </c>
      <c r="D44" s="6" t="s">
        <v>40</v>
      </c>
      <c r="E44" s="6" t="s">
        <v>137</v>
      </c>
      <c r="F44" s="6" t="s">
        <v>56</v>
      </c>
      <c r="G44" s="6" t="s">
        <v>78</v>
      </c>
      <c r="H44" s="6" t="n">
        <v>5</v>
      </c>
      <c r="I44" s="7" t="s">
        <v>175</v>
      </c>
      <c r="J44" s="7" t="s">
        <v>176</v>
      </c>
      <c r="K44" s="6" t="s">
        <v>19</v>
      </c>
    </row>
    <row r="45" customFormat="false" ht="32.8" hidden="false" customHeight="false" outlineLevel="0" collapsed="false">
      <c r="A45" s="6" t="n">
        <v>44</v>
      </c>
      <c r="B45" s="7" t="s">
        <v>177</v>
      </c>
      <c r="C45" s="6" t="s">
        <v>126</v>
      </c>
      <c r="D45" s="6" t="s">
        <v>126</v>
      </c>
      <c r="E45" s="6" t="s">
        <v>137</v>
      </c>
      <c r="F45" s="6" t="s">
        <v>56</v>
      </c>
      <c r="G45" s="6" t="s">
        <v>157</v>
      </c>
      <c r="H45" s="6" t="n">
        <v>5</v>
      </c>
      <c r="I45" s="7" t="s">
        <v>178</v>
      </c>
      <c r="J45" s="7" t="s">
        <v>179</v>
      </c>
      <c r="K45" s="6" t="s">
        <v>19</v>
      </c>
    </row>
    <row r="46" customFormat="false" ht="32.8" hidden="false" customHeight="false" outlineLevel="0" collapsed="false">
      <c r="A46" s="6" t="n">
        <v>45</v>
      </c>
      <c r="B46" s="7" t="s">
        <v>180</v>
      </c>
      <c r="C46" s="6" t="s">
        <v>12</v>
      </c>
      <c r="D46" s="6" t="s">
        <v>12</v>
      </c>
      <c r="E46" s="6" t="s">
        <v>137</v>
      </c>
      <c r="F46" s="6" t="s">
        <v>15</v>
      </c>
      <c r="G46" s="6" t="s">
        <v>78</v>
      </c>
      <c r="H46" s="6" t="n">
        <v>5</v>
      </c>
      <c r="I46" s="7" t="s">
        <v>181</v>
      </c>
      <c r="J46" s="7" t="s">
        <v>182</v>
      </c>
      <c r="K46" s="6" t="s">
        <v>19</v>
      </c>
    </row>
    <row r="47" customFormat="false" ht="32.8" hidden="false" customHeight="false" outlineLevel="0" collapsed="false">
      <c r="A47" s="6" t="n">
        <v>46</v>
      </c>
      <c r="B47" s="7" t="s">
        <v>183</v>
      </c>
      <c r="C47" s="6" t="s">
        <v>12</v>
      </c>
      <c r="D47" s="6" t="s">
        <v>12</v>
      </c>
      <c r="E47" s="6" t="s">
        <v>137</v>
      </c>
      <c r="F47" s="6" t="s">
        <v>64</v>
      </c>
      <c r="G47" s="6" t="s">
        <v>78</v>
      </c>
      <c r="H47" s="6" t="n">
        <v>5</v>
      </c>
      <c r="I47" s="7" t="s">
        <v>184</v>
      </c>
      <c r="J47" s="7" t="s">
        <v>185</v>
      </c>
      <c r="K47" s="6" t="s">
        <v>19</v>
      </c>
    </row>
    <row r="48" customFormat="false" ht="32.8" hidden="false" customHeight="false" outlineLevel="0" collapsed="false">
      <c r="A48" s="6" t="n">
        <v>47</v>
      </c>
      <c r="B48" s="7" t="s">
        <v>186</v>
      </c>
      <c r="C48" s="6" t="s">
        <v>88</v>
      </c>
      <c r="D48" s="6" t="s">
        <v>12</v>
      </c>
      <c r="E48" s="6" t="s">
        <v>137</v>
      </c>
      <c r="F48" s="6" t="s">
        <v>23</v>
      </c>
      <c r="G48" s="6" t="s">
        <v>78</v>
      </c>
      <c r="H48" s="6" t="n">
        <v>5</v>
      </c>
      <c r="I48" s="7" t="s">
        <v>187</v>
      </c>
      <c r="J48" s="7" t="s">
        <v>188</v>
      </c>
      <c r="K48" s="6" t="s">
        <v>19</v>
      </c>
    </row>
    <row r="49" customFormat="false" ht="32.8" hidden="false" customHeight="false" outlineLevel="0" collapsed="false">
      <c r="A49" s="6" t="n">
        <v>48</v>
      </c>
      <c r="B49" s="7" t="s">
        <v>189</v>
      </c>
      <c r="C49" s="6" t="s">
        <v>126</v>
      </c>
      <c r="D49" s="6" t="s">
        <v>126</v>
      </c>
      <c r="E49" s="6" t="s">
        <v>137</v>
      </c>
      <c r="F49" s="6" t="s">
        <v>64</v>
      </c>
      <c r="G49" s="6" t="s">
        <v>157</v>
      </c>
      <c r="H49" s="6" t="n">
        <v>5</v>
      </c>
      <c r="I49" s="7" t="s">
        <v>190</v>
      </c>
      <c r="J49" s="7" t="s">
        <v>191</v>
      </c>
      <c r="K49" s="6" t="s">
        <v>19</v>
      </c>
    </row>
    <row r="50" customFormat="false" ht="32.8" hidden="false" customHeight="false" outlineLevel="0" collapsed="false">
      <c r="A50" s="6" t="n">
        <v>49</v>
      </c>
      <c r="B50" s="7" t="s">
        <v>192</v>
      </c>
      <c r="C50" s="6" t="s">
        <v>168</v>
      </c>
      <c r="D50" s="6" t="s">
        <v>126</v>
      </c>
      <c r="E50" s="6" t="s">
        <v>137</v>
      </c>
      <c r="F50" s="6" t="s">
        <v>64</v>
      </c>
      <c r="G50" s="6" t="s">
        <v>78</v>
      </c>
      <c r="H50" s="6" t="n">
        <v>5</v>
      </c>
      <c r="I50" s="7" t="s">
        <v>193</v>
      </c>
      <c r="J50" s="7" t="s">
        <v>194</v>
      </c>
      <c r="K50" s="6" t="s">
        <v>19</v>
      </c>
    </row>
    <row r="51" customFormat="false" ht="43.25" hidden="false" customHeight="false" outlineLevel="0" collapsed="false">
      <c r="A51" s="6" t="n">
        <v>50</v>
      </c>
      <c r="B51" s="7" t="s">
        <v>195</v>
      </c>
      <c r="C51" s="6" t="s">
        <v>60</v>
      </c>
      <c r="D51" s="6" t="s">
        <v>40</v>
      </c>
      <c r="E51" s="6" t="s">
        <v>137</v>
      </c>
      <c r="F51" s="6" t="s">
        <v>56</v>
      </c>
      <c r="G51" s="6" t="s">
        <v>157</v>
      </c>
      <c r="H51" s="6" t="n">
        <v>5</v>
      </c>
      <c r="I51" s="7" t="s">
        <v>196</v>
      </c>
      <c r="J51" s="7" t="s">
        <v>197</v>
      </c>
      <c r="K51" s="6" t="s">
        <v>19</v>
      </c>
    </row>
    <row r="52" customFormat="false" ht="32.8" hidden="false" customHeight="false" outlineLevel="0" collapsed="false">
      <c r="A52" s="8" t="n">
        <v>51</v>
      </c>
      <c r="B52" s="9" t="s">
        <v>198</v>
      </c>
      <c r="C52" s="8" t="s">
        <v>126</v>
      </c>
      <c r="D52" s="8" t="s">
        <v>126</v>
      </c>
      <c r="E52" s="8" t="s">
        <v>199</v>
      </c>
      <c r="F52" s="8" t="s">
        <v>23</v>
      </c>
      <c r="G52" s="8" t="s">
        <v>157</v>
      </c>
      <c r="H52" s="8" t="n">
        <v>6</v>
      </c>
      <c r="I52" s="9" t="s">
        <v>200</v>
      </c>
      <c r="J52" s="9" t="s">
        <v>201</v>
      </c>
      <c r="K52" s="8" t="s">
        <v>19</v>
      </c>
    </row>
    <row r="53" customFormat="false" ht="32.8" hidden="false" customHeight="false" outlineLevel="0" collapsed="false">
      <c r="A53" s="8" t="n">
        <v>52</v>
      </c>
      <c r="B53" s="9" t="s">
        <v>202</v>
      </c>
      <c r="C53" s="8" t="s">
        <v>54</v>
      </c>
      <c r="D53" s="8" t="s">
        <v>32</v>
      </c>
      <c r="E53" s="8" t="s">
        <v>199</v>
      </c>
      <c r="F53" s="8" t="s">
        <v>56</v>
      </c>
      <c r="G53" s="8" t="s">
        <v>157</v>
      </c>
      <c r="H53" s="8" t="n">
        <v>6</v>
      </c>
      <c r="I53" s="9" t="s">
        <v>203</v>
      </c>
      <c r="J53" s="9" t="s">
        <v>204</v>
      </c>
      <c r="K53" s="8" t="s">
        <v>19</v>
      </c>
    </row>
    <row r="54" customFormat="false" ht="32.8" hidden="false" customHeight="false" outlineLevel="0" collapsed="false">
      <c r="A54" s="8" t="n">
        <v>53</v>
      </c>
      <c r="B54" s="9" t="s">
        <v>205</v>
      </c>
      <c r="C54" s="8" t="s">
        <v>54</v>
      </c>
      <c r="D54" s="8" t="s">
        <v>32</v>
      </c>
      <c r="E54" s="8" t="s">
        <v>199</v>
      </c>
      <c r="F54" s="8" t="s">
        <v>15</v>
      </c>
      <c r="G54" s="8" t="s">
        <v>157</v>
      </c>
      <c r="H54" s="8" t="n">
        <v>6</v>
      </c>
      <c r="I54" s="9" t="s">
        <v>203</v>
      </c>
      <c r="J54" s="9" t="s">
        <v>206</v>
      </c>
      <c r="K54" s="8" t="s">
        <v>19</v>
      </c>
    </row>
    <row r="55" customFormat="false" ht="22.35" hidden="false" customHeight="false" outlineLevel="0" collapsed="false">
      <c r="A55" s="8" t="n">
        <v>54</v>
      </c>
      <c r="B55" s="9" t="s">
        <v>207</v>
      </c>
      <c r="C55" s="8" t="s">
        <v>54</v>
      </c>
      <c r="D55" s="8" t="s">
        <v>32</v>
      </c>
      <c r="E55" s="8" t="s">
        <v>199</v>
      </c>
      <c r="F55" s="8" t="s">
        <v>33</v>
      </c>
      <c r="G55" s="8" t="s">
        <v>157</v>
      </c>
      <c r="H55" s="8" t="n">
        <v>6</v>
      </c>
      <c r="I55" s="9" t="s">
        <v>208</v>
      </c>
      <c r="J55" s="9" t="s">
        <v>209</v>
      </c>
      <c r="K55" s="8" t="s">
        <v>19</v>
      </c>
    </row>
    <row r="56" customFormat="false" ht="22.35" hidden="false" customHeight="false" outlineLevel="0" collapsed="false">
      <c r="A56" s="8" t="n">
        <v>55</v>
      </c>
      <c r="B56" s="9" t="s">
        <v>210</v>
      </c>
      <c r="C56" s="8" t="s">
        <v>54</v>
      </c>
      <c r="D56" s="8" t="s">
        <v>32</v>
      </c>
      <c r="E56" s="8" t="s">
        <v>199</v>
      </c>
      <c r="F56" s="8" t="s">
        <v>211</v>
      </c>
      <c r="G56" s="8" t="s">
        <v>157</v>
      </c>
      <c r="H56" s="8" t="n">
        <v>6</v>
      </c>
      <c r="I56" s="9" t="s">
        <v>208</v>
      </c>
      <c r="J56" s="9" t="s">
        <v>212</v>
      </c>
      <c r="K56" s="8" t="s">
        <v>19</v>
      </c>
    </row>
    <row r="57" customFormat="false" ht="32.8" hidden="false" customHeight="false" outlineLevel="0" collapsed="false">
      <c r="A57" s="8" t="n">
        <v>56</v>
      </c>
      <c r="B57" s="9" t="s">
        <v>213</v>
      </c>
      <c r="C57" s="8" t="s">
        <v>126</v>
      </c>
      <c r="D57" s="8" t="s">
        <v>126</v>
      </c>
      <c r="E57" s="8" t="s">
        <v>199</v>
      </c>
      <c r="F57" s="8" t="s">
        <v>211</v>
      </c>
      <c r="G57" s="8" t="s">
        <v>157</v>
      </c>
      <c r="H57" s="8" t="n">
        <v>6</v>
      </c>
      <c r="I57" s="9" t="s">
        <v>200</v>
      </c>
      <c r="J57" s="9" t="s">
        <v>214</v>
      </c>
      <c r="K57" s="8" t="s">
        <v>19</v>
      </c>
    </row>
    <row r="58" customFormat="false" ht="32.8" hidden="false" customHeight="false" outlineLevel="0" collapsed="false">
      <c r="A58" s="8" t="n">
        <v>57</v>
      </c>
      <c r="B58" s="9" t="s">
        <v>215</v>
      </c>
      <c r="C58" s="8" t="s">
        <v>110</v>
      </c>
      <c r="D58" s="8" t="s">
        <v>12</v>
      </c>
      <c r="E58" s="8" t="s">
        <v>199</v>
      </c>
      <c r="F58" s="8" t="s">
        <v>15</v>
      </c>
      <c r="G58" s="8" t="s">
        <v>157</v>
      </c>
      <c r="H58" s="8" t="n">
        <v>6</v>
      </c>
      <c r="I58" s="9" t="s">
        <v>216</v>
      </c>
      <c r="J58" s="9" t="s">
        <v>217</v>
      </c>
      <c r="K58" s="8" t="s">
        <v>19</v>
      </c>
    </row>
    <row r="59" customFormat="false" ht="43.25" hidden="false" customHeight="false" outlineLevel="0" collapsed="false">
      <c r="A59" s="8" t="n">
        <v>58</v>
      </c>
      <c r="B59" s="9" t="s">
        <v>218</v>
      </c>
      <c r="C59" s="8" t="s">
        <v>31</v>
      </c>
      <c r="D59" s="8" t="s">
        <v>40</v>
      </c>
      <c r="E59" s="8" t="s">
        <v>199</v>
      </c>
      <c r="F59" s="8" t="s">
        <v>33</v>
      </c>
      <c r="G59" s="8" t="s">
        <v>157</v>
      </c>
      <c r="H59" s="8" t="n">
        <v>6</v>
      </c>
      <c r="I59" s="9" t="s">
        <v>216</v>
      </c>
      <c r="J59" s="9" t="s">
        <v>219</v>
      </c>
      <c r="K59" s="8" t="s">
        <v>19</v>
      </c>
    </row>
    <row r="60" customFormat="false" ht="22.35" hidden="false" customHeight="false" outlineLevel="0" collapsed="false">
      <c r="A60" s="8" t="n">
        <v>59</v>
      </c>
      <c r="B60" s="9" t="s">
        <v>220</v>
      </c>
      <c r="C60" s="8" t="s">
        <v>168</v>
      </c>
      <c r="D60" s="8" t="s">
        <v>12</v>
      </c>
      <c r="E60" s="8" t="s">
        <v>199</v>
      </c>
      <c r="F60" s="8" t="s">
        <v>64</v>
      </c>
      <c r="G60" s="8" t="s">
        <v>157</v>
      </c>
      <c r="H60" s="8" t="n">
        <v>6</v>
      </c>
      <c r="I60" s="9" t="s">
        <v>221</v>
      </c>
      <c r="J60" s="9" t="s">
        <v>222</v>
      </c>
      <c r="K60" s="8" t="s">
        <v>19</v>
      </c>
    </row>
    <row r="61" customFormat="false" ht="32.8" hidden="false" customHeight="false" outlineLevel="0" collapsed="false">
      <c r="A61" s="8" t="n">
        <v>60</v>
      </c>
      <c r="B61" s="9" t="s">
        <v>223</v>
      </c>
      <c r="C61" s="8" t="s">
        <v>110</v>
      </c>
      <c r="D61" s="8" t="s">
        <v>116</v>
      </c>
      <c r="E61" s="8" t="s">
        <v>199</v>
      </c>
      <c r="F61" s="8" t="s">
        <v>33</v>
      </c>
      <c r="G61" s="8" t="s">
        <v>157</v>
      </c>
      <c r="H61" s="8" t="n">
        <v>6</v>
      </c>
      <c r="I61" s="9" t="s">
        <v>224</v>
      </c>
      <c r="J61" s="9" t="s">
        <v>225</v>
      </c>
      <c r="K61" s="8" t="s">
        <v>19</v>
      </c>
    </row>
    <row r="62" customFormat="false" ht="32.8" hidden="false" customHeight="false" outlineLevel="0" collapsed="false">
      <c r="A62" s="8" t="n">
        <v>61</v>
      </c>
      <c r="B62" s="9" t="s">
        <v>226</v>
      </c>
      <c r="C62" s="8" t="s">
        <v>136</v>
      </c>
      <c r="D62" s="8" t="s">
        <v>126</v>
      </c>
      <c r="E62" s="8" t="s">
        <v>199</v>
      </c>
      <c r="F62" s="8" t="s">
        <v>15</v>
      </c>
      <c r="G62" s="8" t="s">
        <v>157</v>
      </c>
      <c r="H62" s="8" t="n">
        <v>6</v>
      </c>
      <c r="I62" s="9" t="s">
        <v>227</v>
      </c>
      <c r="J62" s="9" t="s">
        <v>228</v>
      </c>
      <c r="K62" s="8" t="s">
        <v>19</v>
      </c>
    </row>
    <row r="63" customFormat="false" ht="32.8" hidden="false" customHeight="false" outlineLevel="0" collapsed="false">
      <c r="A63" s="8" t="n">
        <v>62</v>
      </c>
      <c r="B63" s="9" t="s">
        <v>229</v>
      </c>
      <c r="C63" s="8" t="s">
        <v>110</v>
      </c>
      <c r="D63" s="8" t="s">
        <v>12</v>
      </c>
      <c r="E63" s="8" t="s">
        <v>199</v>
      </c>
      <c r="F63" s="8" t="s">
        <v>33</v>
      </c>
      <c r="G63" s="8" t="s">
        <v>157</v>
      </c>
      <c r="H63" s="8" t="n">
        <v>6</v>
      </c>
      <c r="I63" s="9" t="s">
        <v>230</v>
      </c>
      <c r="J63" s="9" t="s">
        <v>231</v>
      </c>
      <c r="K63" s="8" t="s">
        <v>19</v>
      </c>
    </row>
    <row r="64" customFormat="false" ht="32.8" hidden="false" customHeight="false" outlineLevel="0" collapsed="false">
      <c r="A64" s="8" t="n">
        <v>63</v>
      </c>
      <c r="B64" s="9" t="s">
        <v>232</v>
      </c>
      <c r="C64" s="8" t="s">
        <v>12</v>
      </c>
      <c r="D64" s="8" t="s">
        <v>12</v>
      </c>
      <c r="E64" s="8" t="s">
        <v>199</v>
      </c>
      <c r="F64" s="8" t="s">
        <v>33</v>
      </c>
      <c r="G64" s="8" t="s">
        <v>157</v>
      </c>
      <c r="H64" s="8" t="n">
        <v>6</v>
      </c>
      <c r="I64" s="9" t="s">
        <v>233</v>
      </c>
      <c r="J64" s="9" t="s">
        <v>234</v>
      </c>
      <c r="K64" s="8" t="s">
        <v>19</v>
      </c>
    </row>
    <row r="65" customFormat="false" ht="32.8" hidden="false" customHeight="false" outlineLevel="0" collapsed="false">
      <c r="A65" s="8" t="n">
        <v>64</v>
      </c>
      <c r="B65" s="9" t="s">
        <v>235</v>
      </c>
      <c r="C65" s="8" t="s">
        <v>12</v>
      </c>
      <c r="D65" s="8" t="s">
        <v>12</v>
      </c>
      <c r="E65" s="8" t="s">
        <v>199</v>
      </c>
      <c r="F65" s="8" t="s">
        <v>33</v>
      </c>
      <c r="G65" s="8" t="s">
        <v>157</v>
      </c>
      <c r="H65" s="8" t="n">
        <v>6</v>
      </c>
      <c r="I65" s="9" t="s">
        <v>236</v>
      </c>
      <c r="J65" s="9" t="s">
        <v>237</v>
      </c>
      <c r="K65" s="8" t="s">
        <v>19</v>
      </c>
    </row>
    <row r="66" customFormat="false" ht="22.35" hidden="false" customHeight="false" outlineLevel="0" collapsed="false">
      <c r="A66" s="8" t="n">
        <v>65</v>
      </c>
      <c r="B66" s="9" t="s">
        <v>238</v>
      </c>
      <c r="C66" s="8" t="s">
        <v>168</v>
      </c>
      <c r="D66" s="8" t="s">
        <v>126</v>
      </c>
      <c r="E66" s="8" t="s">
        <v>199</v>
      </c>
      <c r="F66" s="8" t="s">
        <v>33</v>
      </c>
      <c r="G66" s="8" t="s">
        <v>157</v>
      </c>
      <c r="H66" s="8" t="n">
        <v>6</v>
      </c>
      <c r="I66" s="9" t="s">
        <v>239</v>
      </c>
      <c r="J66" s="9" t="s">
        <v>240</v>
      </c>
      <c r="K66" s="8" t="s">
        <v>19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4" min="3" style="0" width="12"/>
    <col collapsed="false" customWidth="true" hidden="false" outlineLevel="0" max="5" min="5" style="0" width="55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7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</row>
    <row r="2" customFormat="false" ht="32.8" hidden="false" customHeight="false" outlineLevel="0" collapsed="false">
      <c r="A2" s="10" t="s">
        <v>246</v>
      </c>
      <c r="B2" s="10" t="s">
        <v>247</v>
      </c>
      <c r="C2" s="10" t="s">
        <v>248</v>
      </c>
      <c r="D2" s="10" t="s">
        <v>249</v>
      </c>
      <c r="E2" s="10" t="s">
        <v>250</v>
      </c>
      <c r="F2" s="10" t="s">
        <v>251</v>
      </c>
    </row>
    <row r="3" customFormat="false" ht="22.35" hidden="false" customHeight="false" outlineLevel="0" collapsed="false">
      <c r="A3" s="10" t="s">
        <v>252</v>
      </c>
      <c r="B3" s="10" t="s">
        <v>253</v>
      </c>
      <c r="C3" s="10" t="s">
        <v>254</v>
      </c>
      <c r="D3" s="10" t="s">
        <v>255</v>
      </c>
      <c r="E3" s="10" t="s">
        <v>256</v>
      </c>
      <c r="F3" s="10" t="s">
        <v>257</v>
      </c>
    </row>
    <row r="4" customFormat="false" ht="22.35" hidden="false" customHeight="false" outlineLevel="0" collapsed="false">
      <c r="A4" s="10" t="s">
        <v>258</v>
      </c>
      <c r="B4" s="10" t="s">
        <v>259</v>
      </c>
      <c r="C4" s="10" t="s">
        <v>260</v>
      </c>
      <c r="D4" s="10" t="s">
        <v>261</v>
      </c>
      <c r="E4" s="10" t="s">
        <v>262</v>
      </c>
      <c r="F4" s="10" t="s">
        <v>263</v>
      </c>
    </row>
    <row r="5" customFormat="false" ht="22.35" hidden="false" customHeight="false" outlineLevel="0" collapsed="false">
      <c r="A5" s="10" t="s">
        <v>264</v>
      </c>
      <c r="B5" s="10" t="s">
        <v>265</v>
      </c>
      <c r="C5" s="10" t="s">
        <v>266</v>
      </c>
      <c r="D5" s="10" t="s">
        <v>267</v>
      </c>
      <c r="E5" s="10" t="s">
        <v>268</v>
      </c>
      <c r="F5" s="10" t="s">
        <v>263</v>
      </c>
    </row>
    <row r="6" customFormat="false" ht="22.35" hidden="false" customHeight="false" outlineLevel="0" collapsed="false">
      <c r="A6" s="10" t="s">
        <v>269</v>
      </c>
      <c r="B6" s="10" t="s">
        <v>270</v>
      </c>
      <c r="C6" s="10" t="s">
        <v>271</v>
      </c>
      <c r="D6" s="10" t="s">
        <v>272</v>
      </c>
      <c r="E6" s="10" t="s">
        <v>273</v>
      </c>
      <c r="F6" s="10" t="s">
        <v>274</v>
      </c>
    </row>
    <row r="7" customFormat="false" ht="22.35" hidden="false" customHeight="false" outlineLevel="0" collapsed="false">
      <c r="A7" s="10" t="s">
        <v>275</v>
      </c>
      <c r="B7" s="10" t="s">
        <v>276</v>
      </c>
      <c r="C7" s="10" t="s">
        <v>277</v>
      </c>
      <c r="D7" s="10" t="s">
        <v>278</v>
      </c>
      <c r="E7" s="10" t="s">
        <v>279</v>
      </c>
      <c r="F7" s="10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1" t="s">
        <v>281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 t="s">
        <v>282</v>
      </c>
    </row>
    <row r="4" customFormat="false" ht="15" hidden="false" customHeight="false" outlineLevel="0" collapsed="false">
      <c r="A4" s="1" t="s">
        <v>4</v>
      </c>
      <c r="B4" s="1" t="s">
        <v>283</v>
      </c>
      <c r="C4" s="1" t="s">
        <v>284</v>
      </c>
    </row>
    <row r="5" customFormat="false" ht="15" hidden="false" customHeight="false" outlineLevel="0" collapsed="false">
      <c r="A5" s="13" t="s">
        <v>285</v>
      </c>
      <c r="B5" s="13" t="n">
        <f aca="false">COUNTIF('Prioritized Backlog'!E:E,"P0")</f>
        <v>9</v>
      </c>
      <c r="C5" s="13" t="s">
        <v>251</v>
      </c>
    </row>
    <row r="6" customFormat="false" ht="15" hidden="false" customHeight="false" outlineLevel="0" collapsed="false">
      <c r="A6" s="13" t="s">
        <v>286</v>
      </c>
      <c r="B6" s="13" t="n">
        <f aca="false">COUNTIF('Prioritized Backlog'!E:E,"P1")</f>
        <v>22</v>
      </c>
      <c r="C6" s="13" t="s">
        <v>287</v>
      </c>
    </row>
    <row r="7" customFormat="false" ht="15" hidden="false" customHeight="false" outlineLevel="0" collapsed="false">
      <c r="A7" s="13" t="s">
        <v>288</v>
      </c>
      <c r="B7" s="13" t="n">
        <f aca="false">COUNTIF('Prioritized Backlog'!E:E,"P2")</f>
        <v>19</v>
      </c>
      <c r="C7" s="13" t="s">
        <v>289</v>
      </c>
    </row>
    <row r="8" customFormat="false" ht="15" hidden="false" customHeight="false" outlineLevel="0" collapsed="false">
      <c r="A8" s="13" t="s">
        <v>290</v>
      </c>
      <c r="B8" s="13" t="n">
        <f aca="false">COUNTIF('Prioritized Backlog'!E:E,"P3")</f>
        <v>15</v>
      </c>
      <c r="C8" s="13" t="s">
        <v>280</v>
      </c>
    </row>
    <row r="9" customFormat="false" ht="15" hidden="false" customHeight="false" outlineLevel="0" collapsed="false">
      <c r="A9" s="14" t="s">
        <v>291</v>
      </c>
      <c r="B9" s="14" t="n">
        <f aca="false">SUM(B5:B8)</f>
        <v>65</v>
      </c>
      <c r="C9" s="14" t="s">
        <v>292</v>
      </c>
    </row>
    <row r="11" customFormat="false" ht="15" hidden="false" customHeight="false" outlineLevel="0" collapsed="false">
      <c r="A11" s="12" t="s">
        <v>293</v>
      </c>
      <c r="D11" s="12" t="s">
        <v>294</v>
      </c>
    </row>
    <row r="12" customFormat="false" ht="15" hidden="false" customHeight="false" outlineLevel="0" collapsed="false">
      <c r="A12" s="1" t="s">
        <v>2</v>
      </c>
      <c r="B12" s="1" t="s">
        <v>283</v>
      </c>
      <c r="D12" s="1" t="s">
        <v>3</v>
      </c>
      <c r="E12" s="1" t="s">
        <v>283</v>
      </c>
    </row>
    <row r="13" customFormat="false" ht="15" hidden="false" customHeight="false" outlineLevel="0" collapsed="false">
      <c r="A13" s="15" t="s">
        <v>12</v>
      </c>
      <c r="B13" s="13" t="n">
        <f aca="false">COUNTIF('Prioritized Backlog'!C:C,"Security")</f>
        <v>9</v>
      </c>
      <c r="D13" s="15" t="s">
        <v>295</v>
      </c>
      <c r="E13" s="13" t="n">
        <f aca="false">COUNTIF('Prioritized Backlog'!D:D,"*Auditor*")</f>
        <v>16</v>
      </c>
    </row>
    <row r="14" customFormat="false" ht="15" hidden="false" customHeight="false" outlineLevel="0" collapsed="false">
      <c r="A14" s="15" t="s">
        <v>21</v>
      </c>
      <c r="B14" s="13" t="n">
        <f aca="false">COUNTIF('Prioritized Backlog'!C:C,"Data Integrity")</f>
        <v>3</v>
      </c>
      <c r="D14" s="15" t="s">
        <v>101</v>
      </c>
      <c r="E14" s="13" t="n">
        <f aca="false">COUNTIF('Prioritized Backlog'!D:D,"*Arch*")</f>
        <v>7</v>
      </c>
    </row>
    <row r="15" customFormat="false" ht="15" hidden="false" customHeight="false" outlineLevel="0" collapsed="false">
      <c r="A15" s="15" t="s">
        <v>31</v>
      </c>
      <c r="B15" s="13" t="n">
        <f aca="false">COUNTIF('Prioritized Backlog'!C:C,"Bug")</f>
        <v>5</v>
      </c>
      <c r="D15" s="15" t="s">
        <v>296</v>
      </c>
      <c r="E15" s="13" t="n">
        <f aca="false">COUNTIF('Prioritized Backlog'!D:D,"*UX*")</f>
        <v>16</v>
      </c>
    </row>
    <row r="16" customFormat="false" ht="15" hidden="false" customHeight="false" outlineLevel="0" collapsed="false">
      <c r="A16" s="15" t="s">
        <v>60</v>
      </c>
      <c r="B16" s="13" t="n">
        <f aca="false">COUNTIF('Prioritized Backlog'!C:C,"Business Logic")</f>
        <v>5</v>
      </c>
      <c r="D16" s="15" t="s">
        <v>297</v>
      </c>
      <c r="E16" s="13" t="n">
        <f aca="false">COUNTIF('Prioritized Backlog'!D:D,"*Logic*")</f>
        <v>13</v>
      </c>
    </row>
    <row r="17" customFormat="false" ht="15" hidden="false" customHeight="false" outlineLevel="0" collapsed="false">
      <c r="A17" s="15" t="s">
        <v>54</v>
      </c>
      <c r="B17" s="13" t="n">
        <f aca="false">COUNTIF('Prioritized Backlog'!C:C,"Code Quality")</f>
        <v>10</v>
      </c>
      <c r="D17" s="15" t="s">
        <v>298</v>
      </c>
      <c r="E17" s="13" t="n">
        <f aca="false">COUNTIF('Prioritized Backlog'!D:D,"*Security*")</f>
        <v>14</v>
      </c>
    </row>
    <row r="18" customFormat="false" ht="15" hidden="false" customHeight="false" outlineLevel="0" collapsed="false">
      <c r="A18" s="15" t="s">
        <v>101</v>
      </c>
      <c r="B18" s="13" t="n">
        <f aca="false">COUNTIF('Prioritized Backlog'!C:C,"Architecture")</f>
        <v>3</v>
      </c>
    </row>
    <row r="19" customFormat="false" ht="15" hidden="false" customHeight="false" outlineLevel="0" collapsed="false">
      <c r="A19" s="15" t="s">
        <v>110</v>
      </c>
      <c r="B19" s="13" t="n">
        <f aca="false">COUNTIF('Prioritized Backlog'!C:C,"Performance")</f>
        <v>7</v>
      </c>
    </row>
    <row r="20" customFormat="false" ht="15" hidden="false" customHeight="false" outlineLevel="0" collapsed="false">
      <c r="A20" s="15" t="s">
        <v>126</v>
      </c>
      <c r="B20" s="13" t="n">
        <f aca="false">COUNTIF('Prioritized Backlog'!C:C,"UX")</f>
        <v>11</v>
      </c>
    </row>
    <row r="21" customFormat="false" ht="15" hidden="false" customHeight="false" outlineLevel="0" collapsed="false">
      <c r="A21" s="15" t="s">
        <v>136</v>
      </c>
      <c r="B21" s="13" t="n">
        <f aca="false">COUNTIF('Prioritized Backlog'!C:C,"Accessibility")</f>
        <v>2</v>
      </c>
    </row>
    <row r="22" customFormat="false" ht="15" hidden="false" customHeight="false" outlineLevel="0" collapsed="false">
      <c r="A22" s="15" t="s">
        <v>144</v>
      </c>
      <c r="B22" s="13" t="n">
        <f aca="false">COUNTIF('Prioritized Backlog'!C:C,"Testing")</f>
        <v>2</v>
      </c>
    </row>
    <row r="23" customFormat="false" ht="15" hidden="false" customHeight="false" outlineLevel="0" collapsed="false">
      <c r="A23" s="15" t="s">
        <v>88</v>
      </c>
      <c r="B23" s="13" t="n">
        <f aca="false">COUNTIF('Prioritized Backlog'!C:C,"Reliability")</f>
        <v>4</v>
      </c>
    </row>
    <row r="24" customFormat="false" ht="15" hidden="false" customHeight="false" outlineLevel="0" collapsed="false">
      <c r="A24" s="15" t="s">
        <v>168</v>
      </c>
      <c r="B24" s="13" t="n">
        <f aca="false">COUNTIF('Prioritized Backlog'!C:C,"Feature")</f>
        <v>4</v>
      </c>
    </row>
    <row r="27" customFormat="false" ht="15" hidden="false" customHeight="false" outlineLevel="0" collapsed="false">
      <c r="A27" s="12" t="s">
        <v>299</v>
      </c>
    </row>
    <row r="28" customFormat="false" ht="15" hidden="false" customHeight="false" outlineLevel="0" collapsed="false">
      <c r="A28" s="16" t="s">
        <v>300</v>
      </c>
      <c r="B28" s="17" t="s">
        <v>301</v>
      </c>
    </row>
    <row r="29" customFormat="false" ht="15" hidden="false" customHeight="false" outlineLevel="0" collapsed="false">
      <c r="A29" s="16" t="s">
        <v>302</v>
      </c>
      <c r="B29" s="18" t="s">
        <v>303</v>
      </c>
    </row>
    <row r="30" customFormat="false" ht="15" hidden="false" customHeight="false" outlineLevel="0" collapsed="false">
      <c r="A30" s="16" t="s">
        <v>304</v>
      </c>
      <c r="B30" s="19" t="s">
        <v>305</v>
      </c>
    </row>
    <row r="31" customFormat="false" ht="15" hidden="false" customHeight="false" outlineLevel="0" collapsed="false">
      <c r="A31" s="16" t="s">
        <v>306</v>
      </c>
      <c r="B31" s="20" t="s">
        <v>307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2026-04-03T09:25:28Z</dcterms:created>
  <dc:creator>openpyxl</dc:creator>
  <dc:description/>
  <dc:language>en-US</dc:language>
  <cp:lastModifiedBy/>
  <dcterms:modified xsi:type="dcterms:W3CDTF">2026-04-03T09:25:28Z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